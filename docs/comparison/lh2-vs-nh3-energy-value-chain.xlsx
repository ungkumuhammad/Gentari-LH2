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stream" sheetId="1" r:id="rId1"/>
    <sheet name="Midstream" sheetId="2" r:id="rId2"/>
    <sheet name="Downstream" sheetId="3" r:id="rId3"/>
    <sheet name="Full Chain" sheetId="4" r:id="rId4"/>
    <sheet name="Annual Energy" sheetId="5" r:id="rId5"/>
    <sheet name="Energy Cost" sheetId="6" r:id="rId6"/>
  </sheets>
  <definedNames>
    <definedName name="An_Avail">'Annual Energy'!$C$11</definedName>
    <definedName name="An_E_C">'Annual Energy'!$G$44</definedName>
    <definedName name="An_E_G">'Annual Energy'!$E$44</definedName>
    <definedName name="An_E_L">'Annual Energy'!$C$44</definedName>
    <definedName name="An_Es">'Annual Energy'!$C$60:$E$60</definedName>
    <definedName name="An_Port">'Annual Energy'!$C$10</definedName>
    <definedName name="An_RT">'Annual Energy'!$C$27</definedName>
    <definedName name="An_T9">'Annual Energy'!$B$62</definedName>
    <definedName name="An_T">'Annual Energy'!$C$26</definedName>
    <definedName name="An_Target">'Annual Energy'!$C$9</definedName>
    <definedName name="An_TLog">'Annual Energy'!$B$35</definedName>
    <definedName name="An_Unit">'Annual Energy'!$B$64</definedName>
    <definedName name="An_VPS">'Annual Energy'!$C$28</definedName>
    <definedName name="An_X9">'Annual Energy'!$B$63</definedName>
    <definedName name="Ch_ArrN">'Full Chain'!$C$36</definedName>
    <definedName name="Ch_Ball">'Full Chain'!$C$29</definedName>
    <definedName name="Ch_Ballast">'Full Chain'!$C$16</definedName>
    <definedName name="Ch_Basis">'Full Chain'!$C$24</definedName>
    <definedName name="Ch_Best">'Full Chain'!$B$79</definedName>
    <definedName name="Ch_BogKg">'Full Chain'!$C$30</definedName>
    <definedName name="Ch_BurnedKg">'Full Chain'!$C$31</definedName>
    <definedName name="Ch_Cargo_C">'Full Chain'!$E$47</definedName>
    <definedName name="Ch_Cargo_G">'Full Chain'!$D$47</definedName>
    <definedName name="Ch_Cargo_L">'Full Chain'!$C$47</definedName>
    <definedName name="Ch_Days">'Full Chain'!$C$15</definedName>
    <definedName name="Ch_Del_C">'Full Chain'!$E$50</definedName>
    <definedName name="Ch_Del_G">'Full Chain'!$D$50</definedName>
    <definedName name="Ch_Del_L">'Full Chain'!$C$50</definedName>
    <definedName name="Ch_DelL">'Full Chain'!$C$38</definedName>
    <definedName name="Ch_DF">'Full Chain'!$C$27</definedName>
    <definedName name="Ch_Down_C">'Full Chain'!$E$48</definedName>
    <definedName name="Ch_Down_G">'Full Chain'!$D$48</definedName>
    <definedName name="Ch_Down_L">'Full Chain'!$C$48</definedName>
    <definedName name="Ch_El_C">'Full Chain'!$E$43</definedName>
    <definedName name="Ch_El_G">'Full Chain'!$D$43</definedName>
    <definedName name="Ch_El_L">'Full Chain'!$C$43</definedName>
    <definedName name="Ch_FromCargo">'Full Chain'!$C$28</definedName>
    <definedName name="Ch_Fuel">'Full Chain'!$C$18</definedName>
    <definedName name="Ch_Hin_C">'Full Chain'!$E$51</definedName>
    <definedName name="Ch_Hin_G">'Full Chain'!$D$51</definedName>
    <definedName name="Ch_Hin_L">'Full Chain'!$C$51</definedName>
    <definedName name="Ch_Liq_C">'Full Chain'!$E$44</definedName>
    <definedName name="Ch_Liq_G">'Full Chain'!$D$44</definedName>
    <definedName name="Ch_Liq_L">'Full Chain'!$C$44</definedName>
    <definedName name="Ch_NH3FuelT">'Full Chain'!$C$34</definedName>
    <definedName name="Ch_PerKg">'Full Chain'!$C$52:$E$52</definedName>
    <definedName name="Ch_Rl_C">'Full Chain'!$E$45</definedName>
    <definedName name="Ch_Rl_G">'Full Chain'!$D$45</definedName>
    <definedName name="Ch_Rl_L">'Full Chain'!$C$45</definedName>
    <definedName name="Ch_Sc">'Full Chain'!$C$37</definedName>
    <definedName name="Ch_Ship_C">'Full Chain'!$E$46</definedName>
    <definedName name="Ch_Ship_G">'Full Chain'!$D$46</definedName>
    <definedName name="Ch_Ship_L">'Full Chain'!$C$46</definedName>
    <definedName name="Ch_Src">'Full Chain'!$C$19</definedName>
    <definedName name="Ch_SurplusKg">'Full Chain'!$C$32</definedName>
    <definedName name="Ch_T8">'Full Chain'!$B$80</definedName>
    <definedName name="Ch_Tot_C">'Full Chain'!$E$49</definedName>
    <definedName name="Ch_Tot_G">'Full Chain'!$D$49</definedName>
    <definedName name="Ch_Tot_L">'Full Chain'!$C$49</definedName>
    <definedName name="Ch_Unit">'Full Chain'!$C$39</definedName>
    <definedName name="Ch_VlsfoL_t">'Full Chain'!$C$33</definedName>
    <definedName name="Ch_VlsfoN_t">'Full Chain'!$C$35</definedName>
    <definedName name="Ch_X8">'Full Chain'!$B$81</definedName>
    <definedName name="Dn_Annual">'Downstream'!$C$35</definedName>
    <definedName name="Dn_Basis">'Downstream'!$C$44</definedName>
    <definedName name="Dn_BorL">'Downstream'!$C$39</definedName>
    <definedName name="Dn_BorN">'Downstream'!$C$41</definedName>
    <definedName name="Dn_Cp">'Downstream'!$C$27</definedName>
    <definedName name="Dn_DivCL">'Downstream'!$C$63</definedName>
    <definedName name="Dn_DivNG">'Downstream'!$C$62</definedName>
    <definedName name="Dn_DivRg">'Downstream'!$C$61</definedName>
    <definedName name="Dn_DT">'Downstream'!$C$26</definedName>
    <definedName name="Dn_Duty">'Downstream'!$C$23</definedName>
    <definedName name="Dn_Elec">'Downstream'!$C$34</definedName>
    <definedName name="Dn_EtaP">'Downstream'!$C$25</definedName>
    <definedName name="Dn_EtaSW">'Downstream'!$C$29</definedName>
    <definedName name="Dn_FeedCl">'Downstream'!$C$32</definedName>
    <definedName name="Dn_FeedNG">'Downstream'!$C$31</definedName>
    <definedName name="Dn_H2CL">'Downstream'!$C$56</definedName>
    <definedName name="Dn_H2L">'Downstream'!$C$54</definedName>
    <definedName name="Dn_H2NG">'Downstream'!$C$55</definedName>
    <definedName name="Dn_Head">'Downstream'!$C$28</definedName>
    <definedName name="Dn_Hold">'Downstream'!$C$38</definedName>
    <definedName name="Dn_kN">'Downstream'!$C$53</definedName>
    <definedName name="Dn_Mode">'Downstream'!$B$72</definedName>
    <definedName name="Dn_PumpL">'Downstream'!$C$47</definedName>
    <definedName name="Dn_PumpSW">'Downstream'!$C$49</definedName>
    <definedName name="Dn_RegasPerKg">'Downstream'!$C$51</definedName>
    <definedName name="Dn_SecL">'Downstream'!$C$40</definedName>
    <definedName name="Dn_SecN">'Downstream'!$C$42</definedName>
    <definedName name="Dn_SendP">'Downstream'!$C$24</definedName>
    <definedName name="Dn_Stoich">'Downstream'!$C$33</definedName>
    <definedName name="Dn_SwKg">'Downstream'!$C$48</definedName>
    <definedName name="Dn_T5">'Downstream'!$B$68</definedName>
    <definedName name="Dn_T6">'Downstream'!$B$69</definedName>
    <definedName name="Dn_Tank">'Downstream'!$C$37</definedName>
    <definedName name="Dn_TankL">'Downstream'!$C$50</definedName>
    <definedName name="Dn_TankN">'Downstream'!$C$52</definedName>
    <definedName name="Dn_TotCL">'Downstream'!$C$59</definedName>
    <definedName name="Dn_TotL">'Downstream'!$C$57</definedName>
    <definedName name="Dn_TotNG">'Downstream'!$C$58</definedName>
    <definedName name="Dn_Unit">'Downstream'!$C$60</definedName>
    <definedName name="Dn_VCL">'Downstream'!$C$66</definedName>
    <definedName name="Dn_VNG">'Downstream'!$C$65</definedName>
    <definedName name="Dn_VRg">'Downstream'!$C$64</definedName>
    <definedName name="Dn_X5">'Downstream'!$B$70</definedName>
    <definedName name="Dn_X6">'Downstream'!$B$71</definedName>
    <definedName name="Ec_A_C">'Energy Cost'!$E$57</definedName>
    <definedName name="Ec_A_G">'Energy Cost'!$D$57</definedName>
    <definedName name="Ec_A_L">'Energy Cost'!$C$57</definedName>
    <definedName name="Ec_B_C">'Energy Cost'!$E$58</definedName>
    <definedName name="Ec_B_G">'Energy Cost'!$D$58</definedName>
    <definedName name="Ec_B_L">'Energy Cost'!$C$58</definedName>
    <definedName name="Ec_Basis">'Energy Cost'!$C$17</definedName>
    <definedName name="Ec_BE_C">'Energy Cost'!$C$63</definedName>
    <definedName name="Ec_BE_G">'Energy Cost'!$C$62</definedName>
    <definedName name="Ec_Cost_C">'Energy Cost'!$E$59</definedName>
    <definedName name="Ec_Cost_G">'Energy Cost'!$D$59</definedName>
    <definedName name="Ec_Cost_L">'Energy Cost'!$C$59</definedName>
    <definedName name="Ec_Den_C">'Energy Cost'!$E$55</definedName>
    <definedName name="Ec_Den_G">'Energy Cost'!$D$55</definedName>
    <definedName name="Ec_Den_L">'Energy Cost'!$C$55</definedName>
    <definedName name="Ec_Dn">'Energy Cost'!$C$10</definedName>
    <definedName name="Ec_H2">'Energy Cost'!$C$14</definedName>
    <definedName name="Ec_L12a">'Energy Cost'!$B$95</definedName>
    <definedName name="Ec_L12b">'Energy Cost'!$B$96</definedName>
    <definedName name="Ec_L12c">'Energy Cost'!$B$97</definedName>
    <definedName name="Ec_MMBtu">'Energy Cost'!$C$15</definedName>
    <definedName name="Ec_N">'Energy Cost'!$C$13</definedName>
    <definedName name="Ec_NG">'Energy Cost'!$C$12</definedName>
    <definedName name="Ec_Q_C">'Energy Cost'!$E$56</definedName>
    <definedName name="Ec_Q_G">'Energy Cost'!$D$56</definedName>
    <definedName name="Ec_Q_L">'Energy Cost'!$C$56</definedName>
    <definedName name="Ec_T12">'Energy Cost'!$B$89</definedName>
    <definedName name="Ec_T13">'Energy Cost'!$B$92</definedName>
    <definedName name="Ec_T14">'Energy Cost'!$B$94</definedName>
    <definedName name="Ec_TotK">'Energy Cost'!$C$82:$E$82</definedName>
    <definedName name="Ec_Unit">'Energy Cost'!$B$87</definedName>
    <definedName name="Ec_UnitK">'Energy Cost'!$B$88</definedName>
    <definedName name="Ec_Up">'Energy Cost'!$C$9</definedName>
    <definedName name="Ec_Usd_C">'Energy Cost'!$E$60</definedName>
    <definedName name="Ec_Usd_G">'Energy Cost'!$D$60</definedName>
    <definedName name="Ec_Usd_L">'Energy Cost'!$C$60</definedName>
    <definedName name="Ec_V">'Energy Cost'!$C$11</definedName>
    <definedName name="Ec_Word">'Energy Cost'!$B$86</definedName>
    <definedName name="Ec_X13">'Energy Cost'!$B$91</definedName>
    <definedName name="Ec_X14">'Energy Cost'!$B$93</definedName>
    <definedName name="Ec_Y12">'Energy Cost'!$B$90</definedName>
    <definedName name="Ship_Basis">'Midstream'!$C$40</definedName>
    <definedName name="Ship_BE">'Midstream'!$C$59</definedName>
    <definedName name="Ship_BEh2">'Midstream'!$C$62</definedName>
    <definedName name="Ship_BOG">'Midstream'!$C$44</definedName>
    <definedName name="Ship_BogN">'Midstream'!$C$61</definedName>
    <definedName name="Ship_BOR_L">'Midstream'!$C$24</definedName>
    <definedName name="Ship_BOR_N">'Midstream'!$C$31</definedName>
    <definedName name="Ship_BorStar">'Midstream'!$C$9</definedName>
    <definedName name="Ship_Burned">'Midstream'!$C$47</definedName>
    <definedName name="Ship_CargoL">'Midstream'!$C$43</definedName>
    <definedName name="Ship_CargoN">'Midstream'!$C$51</definedName>
    <definedName name="Ship_CostN">'Midstream'!$C$54</definedName>
    <definedName name="Ship_CostNcmp">'Midstream'!$C$57</definedName>
    <definedName name="Ship_Duty_L">'Midstream'!$C$25</definedName>
    <definedName name="Ship_Duty_N">'Midstream'!$C$32</definedName>
    <definedName name="Ship_Fill_L">'Midstream'!$C$27</definedName>
    <definedName name="Ship_FixedL">'Midstream'!$C$58</definedName>
    <definedName name="Ship_H2inNH3">'Midstream'!$C$37</definedName>
    <definedName name="Ship_H2N">'Midstream'!$C$55</definedName>
    <definedName name="Ship_HCap">'Midstream'!$C$46</definedName>
    <definedName name="Ship_HFull">'Midstream'!$C$45</definedName>
    <definedName name="Ship_L1">'Midstream'!$B$67</definedName>
    <definedName name="Ship_L2">'Midstream'!$B$68</definedName>
    <definedName name="Ship_L3">'Midstream'!$B$69</definedName>
    <definedName name="Ship_L4">'Midstream'!$B$70</definedName>
    <definedName name="Ship_L5">'Midstream'!$B$71</definedName>
    <definedName name="Ship_L6">'Midstream'!$B$72</definedName>
    <definedName name="Ship_L7">'Midstream'!$B$73</definedName>
    <definedName name="Ship_LHV_H2">'Midstream'!$C$28</definedName>
    <definedName name="Ship_LHV_N">'Midstream'!$C$34</definedName>
    <definedName name="Ship_LHV_VLSFO">'Midstream'!$C$21</definedName>
    <definedName name="Ship_NH3Fuel">'Midstream'!$C$52</definedName>
    <definedName name="Ship_NoteBasis">'Midstream'!$B$76</definedName>
    <definedName name="Ship_P_H2">'Midstream'!$C$39</definedName>
    <definedName name="Ship_P_N">'Midstream'!$C$36</definedName>
    <definedName name="Ship_P_VLSFO">'Midstream'!$C$22</definedName>
    <definedName name="Ship_Pilot_L">'Midstream'!$C$29</definedName>
    <definedName name="Ship_PilotN">'Midstream'!$C$53</definedName>
    <definedName name="Ship_Rho_L">'Midstream'!$C$26</definedName>
    <definedName name="Ship_Rho_N">'Midstream'!$C$35</definedName>
    <definedName name="Ship_ScaleN">'Midstream'!$C$56</definedName>
    <definedName name="Ship_Share_N">'Midstream'!$C$33</definedName>
    <definedName name="Ship_Surplus">'Midstream'!$C$48</definedName>
    <definedName name="Ship_SW">'Midstream'!$C$60</definedName>
    <definedName name="Ship_T1">'Midstream'!$B$65</definedName>
    <definedName name="Ship_T2">'Midstream'!$B$75</definedName>
    <definedName name="Ship_T3">'Midstream'!$B$66</definedName>
    <definedName name="Ship_T4">'Midstream'!$B$74</definedName>
    <definedName name="Ship_Vlsfo">'Midstream'!$C$50</definedName>
    <definedName name="Ship_VlsfoSigned">'Midstream'!$C$49</definedName>
    <definedName name="Ship_Vol">'Midstream'!$C$20</definedName>
    <definedName name="Stg_Dn_C">'Full Chain'!$E$77</definedName>
    <definedName name="Stg_Dn_G">'Full Chain'!$D$77</definedName>
    <definedName name="Stg_Dn_L">'Full Chain'!$C$77</definedName>
    <definedName name="Stg_El_C">'Full Chain'!$E$73</definedName>
    <definedName name="Stg_El_G">'Full Chain'!$D$73</definedName>
    <definedName name="Stg_El_L">'Full Chain'!$C$73</definedName>
    <definedName name="Stg_Sh_C">'Full Chain'!$E$75</definedName>
    <definedName name="Stg_Sh_G">'Full Chain'!$D$75</definedName>
    <definedName name="Stg_Sh_L">'Full Chain'!$C$75</definedName>
    <definedName name="Stg_ShH_C">'Full Chain'!$E$76</definedName>
    <definedName name="Stg_ShH_G">'Full Chain'!$D$76</definedName>
    <definedName name="Stg_ShH_L">'Full Chain'!$C$76</definedName>
    <definedName name="Stg_Up_C">'Full Chain'!$E$74</definedName>
    <definedName name="Stg_Up_G">'Full Chain'!$D$74</definedName>
    <definedName name="Stg_Up_L">'Full Chain'!$C$74</definedName>
    <definedName name="Up_Basis">'Upstream'!$C$46</definedName>
    <definedName name="Up_BogL">'Upstream'!$C$52</definedName>
    <definedName name="Up_BogN">'Upstream'!$C$53</definedName>
    <definedName name="Up_BorL">'Upstream'!$C$30</definedName>
    <definedName name="Up_BorN">'Upstream'!$C$36</definedName>
    <definedName name="Up_Days">'Upstream'!$C$41</definedName>
    <definedName name="Up_DivL">'Upstream'!$C$61</definedName>
    <definedName name="Up_DivN">'Upstream'!$C$62</definedName>
    <definedName name="Up_ElzL">'Upstream'!$C$58</definedName>
    <definedName name="Up_ElzN">'Upstream'!$C$59</definedName>
    <definedName name="Up_ElzOn">'Upstream'!$C$9</definedName>
    <definedName name="Up_ElzSec">'Upstream'!$C$10</definedName>
    <definedName name="Up_Fill">'Upstream'!$C$40</definedName>
    <definedName name="Up_H2N">'Upstream'!$C$49</definedName>
    <definedName name="Up_HB">'Upstream'!$C$56</definedName>
    <definedName name="Up_InvL">'Upstream'!$C$50</definedName>
    <definedName name="Up_InvN">'Upstream'!$C$51</definedName>
    <definedName name="Up_LblN">'Upstream'!$B$74</definedName>
    <definedName name="Up_LblP">'Upstream'!$B$75</definedName>
    <definedName name="Up_LblPar">'Upstream'!$B$73</definedName>
    <definedName name="Up_LblUser">'Upstream'!$B$72</definedName>
    <definedName name="Up_Liq">'Upstream'!$C$54</definedName>
    <definedName name="Up_Loss">'Upstream'!$C$35</definedName>
    <definedName name="Up_MinNorm">'Upstream'!$C$43</definedName>
    <definedName name="Up_MinPara">'Upstream'!$C$44</definedName>
    <definedName name="Up_Par0">'Upstream'!$C$66</definedName>
    <definedName name="Up_Par">'Upstream'!$C$18</definedName>
    <definedName name="Up_Ratio">'Upstream'!$C$65</definedName>
    <definedName name="Up_RlL">'Upstream'!$C$55</definedName>
    <definedName name="Up_RlN">'Upstream'!$C$57</definedName>
    <definedName name="Up_RlqL">'Upstream'!$C$31</definedName>
    <definedName name="Up_RlqN">'Upstream'!$C$37</definedName>
    <definedName name="Up_SecL">'Upstream'!$C$29</definedName>
    <definedName name="Up_SecN">'Upstream'!$C$33</definedName>
    <definedName name="Up_Stoich">'Upstream'!$C$34</definedName>
    <definedName name="Up_T7">'Upstream'!$B$68</definedName>
    <definedName name="Up_T7b">'Upstream'!$B$69</definedName>
    <definedName name="Up_Tank">'Upstream'!$C$39</definedName>
    <definedName name="Up_TotL">'Upstream'!$C$63</definedName>
    <definedName name="Up_TotN">'Upstream'!$C$64</definedName>
    <definedName name="Up_Unit">'Upstream'!$C$60</definedName>
    <definedName name="Up_XT7">'Upstream'!$B$70</definedName>
    <definedName name="Up_YT7b">'Upstream'!$B$71</definedName>
    <definedName name="Up_YTop">'Upstream'!$C$305</definedName>
  </definedNames>
  <calcPr calcId="124519" fullCalcOnLoad="1"/>
</workbook>
</file>

<file path=xl/sharedStrings.xml><?xml version="1.0" encoding="utf-8"?>
<sst xmlns="http://schemas.openxmlformats.org/spreadsheetml/2006/main" count="1157" uniqueCount="605">
  <si>
    <t>Confidential - For PETRONAS Staff Only</t>
  </si>
  <si>
    <t>Midstream · LH₂ Boil-off Bunker Check</t>
  </si>
  <si>
    <t>SHIPPING SEGMENT ONLY · 40,000 M³ LH₂ VS NH₃ CARRIER</t>
  </si>
  <si>
    <t>Does the LH₂ carrier's boil-off cover its own fuel bill, and at what hydrogen price does burning cargo H₂ lose to an ammonia carrier running 95 % on ammonia fuel?</t>
  </si>
  <si>
    <t>Boundary: LH₂/NH₃ loaded → discharged, laden sea day   |   Basis: per ship-day (t/d, kg/d, USD/d)   |   Energy: LHV basis · USD, prices are user inputs (no cost year asserted)</t>
  </si>
  <si>
    <t>Cell key:  purple-tint = input (edit)   ·   cyan-tint = link from another sheet   ·   white = calculation</t>
  </si>
  <si>
    <t>Key results</t>
  </si>
  <si>
    <t>Crossover boil-off rate</t>
  </si>
  <si>
    <t>%/day</t>
  </si>
  <si>
    <t>Below it the ship buys VLSFO; above it excess H₂ does no work</t>
  </si>
  <si>
    <t>H₂ boil-off at your rate</t>
  </si>
  <si>
    <t>kg/d</t>
  </si>
  <si>
    <t>Boil-off as % of what the engine can burn</t>
  </si>
  <si>
    <t>%</t>
  </si>
  <si>
    <t>VLSFO still bought</t>
  </si>
  <si>
    <t>t/d</t>
  </si>
  <si>
    <t>of total fuel demand (t/d VLSFO-eq)</t>
  </si>
  <si>
    <t>Surplus H₂ (GCU or vent)</t>
  </si>
  <si>
    <t>Breakeven H₂ price</t>
  </si>
  <si>
    <t>USD/kg</t>
  </si>
  <si>
    <t>LH₂ and NH₃ ship fuel cost equal (selected basis)</t>
  </si>
  <si>
    <t>LH₂ carrier fuel cost at slider H₂ price</t>
  </si>
  <si>
    <t>USD/d</t>
  </si>
  <si>
    <t>NH₃ carrier fuel cost (selected basis)</t>
  </si>
  <si>
    <t>LH₂ saves (−) / costs extra (+)</t>
  </si>
  <si>
    <t>Inputs · common</t>
  </si>
  <si>
    <t>Cargo capacity</t>
  </si>
  <si>
    <t>m³</t>
  </si>
  <si>
    <t>both ships · user</t>
  </si>
  <si>
    <t>VLSFO LHV</t>
  </si>
  <si>
    <t>MJ/kg</t>
  </si>
  <si>
    <t>implied by user table · [ASSUMPTION]</t>
  </si>
  <si>
    <t>VLSFO price</t>
  </si>
  <si>
    <t>USD/t</t>
  </si>
  <si>
    <t>[ASSUMPTION] placeholder · edit</t>
  </si>
  <si>
    <t>LH₂ carrier (no reliq)</t>
  </si>
  <si>
    <t>Boil-off rate</t>
  </si>
  <si>
    <t>user</t>
  </si>
  <si>
    <t>Fuel demand</t>
  </si>
  <si>
    <t>t/d VLSFO-eq</t>
  </si>
  <si>
    <t>LH₂ density</t>
  </si>
  <si>
    <t>kg/m³</t>
  </si>
  <si>
    <t>repo · needs source (lh2-properties.csv)</t>
  </si>
  <si>
    <t>Fill, % of capacity</t>
  </si>
  <si>
    <t>100 matches user table</t>
  </si>
  <si>
    <t>H₂ LHV</t>
  </si>
  <si>
    <t>Pilot VLSFO on H₂</t>
  </si>
  <si>
    <t>% energy</t>
  </si>
  <si>
    <t>0 matches user table</t>
  </si>
  <si>
    <t>NH₃ carrier (with reliq)</t>
  </si>
  <si>
    <t>user · re-liquefied, no loss</t>
  </si>
  <si>
    <t>user · incl. reliq power</t>
  </si>
  <si>
    <t>NH₃ share of fuel energy</t>
  </si>
  <si>
    <t>user · rest is VLSFO pilot</t>
  </si>
  <si>
    <t>NH₃ LHV</t>
  </si>
  <si>
    <t>repo · [ESTIMATE] (chain-energy-defaults.csv)</t>
  </si>
  <si>
    <t>NH₃ density</t>
  </si>
  <si>
    <t>NH₃ fuel price</t>
  </si>
  <si>
    <t>H₂ mass fraction in NH₃</t>
  </si>
  <si>
    <t>kg/kg</t>
  </si>
  <si>
    <t>[ASSUMPTION] stoichiometric (chain-energy-defaults.csv)</t>
  </si>
  <si>
    <t>Price assessment</t>
  </si>
  <si>
    <t>H₂ price (slider in artifact)</t>
  </si>
  <si>
    <t>set between 0 and 10</t>
  </si>
  <si>
    <t>Comparison basis</t>
  </si>
  <si>
    <t>Per ship-day</t>
  </si>
  <si>
    <t/>
  </si>
  <si>
    <t>dropdown</t>
  </si>
  <si>
    <t>Model · derived values</t>
  </si>
  <si>
    <t>LH₂ cargo on board</t>
  </si>
  <si>
    <t>kg</t>
  </si>
  <si>
    <t>= capacity × fill × density</t>
  </si>
  <si>
    <t>H₂ boil-off</t>
  </si>
  <si>
    <t>= cargo × BOR</t>
  </si>
  <si>
    <t>H₂ to cover whole fuel duty</t>
  </si>
  <si>
    <t>= duty × LHV(VLSFO) ÷ LHV(H₂)</t>
  </si>
  <si>
    <t>H₂ the engine can burn</t>
  </si>
  <si>
    <t>less pilot VLSFO</t>
  </si>
  <si>
    <t>H₂ burned</t>
  </si>
  <si>
    <t>Surplus H₂</t>
  </si>
  <si>
    <t>to GCU or vent</t>
  </si>
  <si>
    <t>VLSFO required (user convention)</t>
  </si>
  <si>
    <t>negative = surplus</t>
  </si>
  <si>
    <t>VLSFO actually bought</t>
  </si>
  <si>
    <t>NH₃ cargo (full, reliq → no loss)</t>
  </si>
  <si>
    <t>NH₃ fuel</t>
  </si>
  <si>
    <t>Pilot VLSFO (NH₃ ship)</t>
  </si>
  <si>
    <t>NH₃ ship fuel cost</t>
  </si>
  <si>
    <t>H₂ contained in NH₃ cargo</t>
  </si>
  <si>
    <t>Cargo-H₂ ratio (LH₂ ÷ NH₃)</t>
  </si>
  <si>
    <t>–</t>
  </si>
  <si>
    <t>scales NH₃ cost to same H₂ carried</t>
  </si>
  <si>
    <t>NH₃ ship cost on selected basis</t>
  </si>
  <si>
    <t>LH₂ ship VLSFO cost</t>
  </si>
  <si>
    <t>= (NH₃ cost − LH₂ VLSFO cost) ÷ boil-off</t>
  </si>
  <si>
    <t>Forced-boil-off line (H₂ = VLSFO per GJ)</t>
  </si>
  <si>
    <t>below this H₂ is cheaper than VLSFO per GJ</t>
  </si>
  <si>
    <t>NH₃ boil-off (re-liquefied to cargo)</t>
  </si>
  <si>
    <t>Breakeven on per-tonne-H₂ basis</t>
  </si>
  <si>
    <t>Chart headlines (feed the chart titles)</t>
  </si>
  <si>
    <t>Check 1 · user's surplus column recomputed</t>
  </si>
  <si>
    <t>Boil-off, %/day</t>
  </si>
  <si>
    <t>VLSFO req, t/d</t>
  </si>
  <si>
    <t>User</t>
  </si>
  <si>
    <t>H₂ boil-off, kg/d</t>
  </si>
  <si>
    <t>Surplus H₂, kg/d</t>
  </si>
  <si>
    <t>Match</t>
  </si>
  <si>
    <t>Chart data · sweep A (boil-off rate, charts 1–2)</t>
  </si>
  <si>
    <t>Engine can burn, kg/d</t>
  </si>
  <si>
    <t>Surplus (stack), kg/d</t>
  </si>
  <si>
    <t>VLSFO bought, t/d</t>
  </si>
  <si>
    <t>VLSFO user convention, t/d</t>
  </si>
  <si>
    <t>Crossover marker</t>
  </si>
  <si>
    <t>Your-case marker (kg/d)</t>
  </si>
  <si>
    <t>Your-case marker (t/d)</t>
  </si>
  <si>
    <t>Crossover marker (t/d)</t>
  </si>
  <si>
    <t>Axis label</t>
  </si>
  <si>
    <t>Chart data · sweep B (H₂ price, chart 3)</t>
  </si>
  <si>
    <t>H₂ price, USD/kg</t>
  </si>
  <si>
    <t>LH₂ carrier, USD/d</t>
  </si>
  <si>
    <t>NH₃ carrier, USD/d</t>
  </si>
  <si>
    <t>Slider marker</t>
  </si>
  <si>
    <t>Breakeven marker</t>
  </si>
  <si>
    <t>H₂=VLSFO line marker</t>
  </si>
  <si>
    <t>Chart data · sweep C (NH₃ price, chart 4)</t>
  </si>
  <si>
    <t>NH₃ price, USD/t</t>
  </si>
  <si>
    <t>Breakeven per ship-day</t>
  </si>
  <si>
    <t>Breakeven per t H₂</t>
  </si>
  <si>
    <t>H₂=VLSFO</t>
  </si>
  <si>
    <t>Marker (ship-day)</t>
  </si>
  <si>
    <t>Marker (t H₂)</t>
  </si>
  <si>
    <t>Method, assumptions and gaps</t>
  </si>
  <si>
    <t>• Energy parity: 1 MJ of H₂ displaces 1 MJ of VLSFO in the engine (LHV basis, equal engine efficiency) [ASSUMPTION].</t>
  </si>
  <si>
    <t>• Pilot fuel: the user table lets VLSFO fall to zero; set 'Pilot VLSFO on H₂' to see the crossover move right [ESTIMATE – needs source].</t>
  </si>
  <si>
    <t>• VLSFO LHV 41.0 MJ/kg is back-calculated from the user table; the repo shipping study uses 40.2 MJ/kg [ESTIMATE].</t>
  </si>
  <si>
    <t>• Full cargo, laden leg: boil-off taken on 100 % of 40,000 m³; ballast leg (heel only) is not modelled.</t>
  </si>
  <si>
    <t>• NH₃ carrier: 0.15 %/day boil-off is re-liquefied back to cargo; reliq power is assumed inside the 30 t/d demand [ASSUMPTION].</t>
  </si>
  <si>
    <t>• Prices default to USD 600/t placeholders [ASSUMPTION], not market quotes. Carbon cost / FuelEU, N₂O slip and CO₂e of vented H₂ are excluded (no sourced value).</t>
  </si>
  <si>
    <t>• Sources: user inputs (2026-09-24); kawasaki-2026-questionnaire (40,000 m³ carrier, BOG burned in DF engine, no reliq, GCU for excess); data/properties/lh2-properties.csv; data/carriers/chain-energy-defaults.csv.</t>
  </si>
  <si>
    <t>Upstream · Liquefaction vs Haber-Bosch</t>
  </si>
  <si>
    <t>UPSTREAM · GASEOUS H₂ AT BATTERY LIMIT → CARGO IN EXPORT TANK</t>
  </si>
  <si>
    <t>How much energy does it take to make one ship's cargo: liquefying H₂ for the LH₂ carrier, or synthesising NH₃ for the ammonia carrier, including reliquefaction of boil-off in a 60,000 m³ export tank? Electrolysis of the H₂ each route consumes can be switched on below.</t>
  </si>
  <si>
    <t>Boundary: GH₂ (electrolysis optional) → cargo ready to load   |   Basis: one full 40,000 m³ cargo, or per kg H₂   |   Energy: MWh, electricity as delivered kWh</t>
  </si>
  <si>
    <t>Electrolysis switch</t>
  </si>
  <si>
    <t>Include electrolysis of the H₂ each route consumes</t>
  </si>
  <si>
    <t>No</t>
  </si>
  <si>
    <t>dropdown · feeds Full Chain, Annual Energy, Energy Cost</t>
  </si>
  <si>
    <t>Electrolyser SEC</t>
  </si>
  <si>
    <t>kWh/kg H₂</t>
  </si>
  <si>
    <t>[ASSUMPTION] repo · user-set placeholder</t>
  </si>
  <si>
    <t>LH₂ route upstream energy</t>
  </si>
  <si>
    <t>NH₃ route upstream energy</t>
  </si>
  <si>
    <t>LH₂ ÷ NH₃</t>
  </si>
  <si>
    <t>×</t>
  </si>
  <si>
    <t>H₂ used per cargo, LH₂ route</t>
  </si>
  <si>
    <t>t</t>
  </si>
  <si>
    <t>H₂ used per cargo, NH₃ route</t>
  </si>
  <si>
    <t>Parity liquefaction SEC</t>
  </si>
  <si>
    <t>same upstream energy on both routes</t>
  </si>
  <si>
    <t>Minimum possible (para-H₂)</t>
  </si>
  <si>
    <t>kWh/kg</t>
  </si>
  <si>
    <t>Gap to the minimum</t>
  </si>
  <si>
    <t>User liquefier vs ideal (para basis)</t>
  </si>
  <si>
    <t>Cargo basis (linked from Midstream)</t>
  </si>
  <si>
    <t>Midstream</t>
  </si>
  <si>
    <t>LH₂ fill</t>
  </si>
  <si>
    <t>Inputs · LH₂ liquefaction</t>
  </si>
  <si>
    <t>Liquefaction</t>
  </si>
  <si>
    <t>user · KHI 8–9 (kawasaki-2026-questionnaire)</t>
  </si>
  <si>
    <t>Export tank BOR</t>
  </si>
  <si>
    <t>user · KHI 0.1 (kawasaki-2026-supplemental)</t>
  </si>
  <si>
    <t>BOG reliq</t>
  </si>
  <si>
    <t>kWh/kg BOG</t>
  </si>
  <si>
    <t>repo [ASSUMPTION] (condensation-only duty)</t>
  </si>
  <si>
    <t>Inputs · NH₃ Haber-Bosch</t>
  </si>
  <si>
    <t>Haber-Bosch</t>
  </si>
  <si>
    <t>user · ASU included? (open question)</t>
  </si>
  <si>
    <t>Stoichiometric NH₃</t>
  </si>
  <si>
    <t>kg/kg H₂</t>
  </si>
  <si>
    <t>user · exact 5.632</t>
  </si>
  <si>
    <t>H₂ lost in synthesis loop</t>
  </si>
  <si>
    <t>0 = none assumed</t>
  </si>
  <si>
    <t>repo · [ESTIMATE]</t>
  </si>
  <si>
    <t>Inputs · export tank (both)</t>
  </si>
  <si>
    <t>Tank size</t>
  </si>
  <si>
    <t>Average inventory</t>
  </si>
  <si>
    <t>% of tank</t>
  </si>
  <si>
    <t>100 = full, conservative</t>
  </si>
  <si>
    <t>Storage days per cargo</t>
  </si>
  <si>
    <t>days</t>
  </si>
  <si>
    <t>[ASSUMPTION] repo placeholder · edit</t>
  </si>
  <si>
    <t>Inputs · liquefaction thermodynamic floor</t>
  </si>
  <si>
    <t>Minimum work, normal-H₂</t>
  </si>
  <si>
    <t>cited: doe-2009-h2-liquefaction-energy</t>
  </si>
  <si>
    <t>Minimum work, para-H₂</t>
  </si>
  <si>
    <t>Chart basis</t>
  </si>
  <si>
    <t>Show</t>
  </si>
  <si>
    <t>Per ship cargo (MWh)</t>
  </si>
  <si>
    <t>Model · per cargo</t>
  </si>
  <si>
    <t>H₂ fed to Haber-Bosch</t>
  </si>
  <si>
    <t>= NH₃ cargo ÷ stoich ÷ (1 − loss)</t>
  </si>
  <si>
    <t>LH₂ export-tank inventory</t>
  </si>
  <si>
    <t>NH₃ export-tank inventory</t>
  </si>
  <si>
    <t>LH₂ tank boil-off</t>
  </si>
  <si>
    <t>NH₃ tank boil-off</t>
  </si>
  <si>
    <t>Liquefaction energy</t>
  </si>
  <si>
    <t>kWh</t>
  </si>
  <si>
    <t>= cargo × SEC</t>
  </si>
  <si>
    <t>LH₂ tank reliq energy</t>
  </si>
  <si>
    <t>Haber-Bosch energy</t>
  </si>
  <si>
    <t>= H₂ fed × SEC</t>
  </si>
  <si>
    <t>NH₃ tank reliq energy</t>
  </si>
  <si>
    <t>Electrolysis, LH₂ route</t>
  </si>
  <si>
    <t>H₂ consumed × electrolyser SEC</t>
  </si>
  <si>
    <t>Electrolysis, NH₃ route</t>
  </si>
  <si>
    <t>Chart unit</t>
  </si>
  <si>
    <t>Divisor, LH₂</t>
  </si>
  <si>
    <t>Divisor, NH₃</t>
  </si>
  <si>
    <t>LH₂ route total</t>
  </si>
  <si>
    <t>NH₃ route total</t>
  </si>
  <si>
    <t>Parity liquefaction SEC (basis-consistent)</t>
  </si>
  <si>
    <t>SEC at which both routes use equal upstream energy</t>
  </si>
  <si>
    <t>Production basis · what each ship needs</t>
  </si>
  <si>
    <t>Route</t>
  </si>
  <si>
    <t>Cargo made, kg</t>
  </si>
  <si>
    <t>H₂ used, kg</t>
  </si>
  <si>
    <t>H₂ in cargo, kg</t>
  </si>
  <si>
    <t>Export tank inventory, kg</t>
  </si>
  <si>
    <t>LH₂ · liquefaction</t>
  </si>
  <si>
    <t>NH₃ · Haber-Bosch</t>
  </si>
  <si>
    <t>Energy build-up per cargo</t>
  </si>
  <si>
    <t>Line</t>
  </si>
  <si>
    <t>LH₂, MWh</t>
  </si>
  <si>
    <t>NH₃, MWh</t>
  </si>
  <si>
    <t>LH₂, kWh/kg H₂</t>
  </si>
  <si>
    <t>NH₃, kWh/kg H₂</t>
  </si>
  <si>
    <t>Electrolysis</t>
  </si>
  <si>
    <t>Liquefaction / Haber-Bosch</t>
  </si>
  <si>
    <t>Export-tank BOG reliq</t>
  </si>
  <si>
    <t>Total</t>
  </si>
  <si>
    <t>Export tank boil-off, per day</t>
  </si>
  <si>
    <t>Export tank</t>
  </si>
  <si>
    <t>Inventory, kg</t>
  </si>
  <si>
    <t>BOR, %/day</t>
  </si>
  <si>
    <t>Boil-off, kg/day</t>
  </si>
  <si>
    <t>Reliq, kWh/kg</t>
  </si>
  <si>
    <t>Reliq energy, MWh/day</t>
  </si>
  <si>
    <t>Per cargo, MWh</t>
  </si>
  <si>
    <t>LH₂</t>
  </si>
  <si>
    <t>NH₃</t>
  </si>
  <si>
    <t>Chart data · chart 7 (energy to make one cargo)</t>
  </si>
  <si>
    <t>Chart data (bottom-to-top)</t>
  </si>
  <si>
    <t>Total label (padding)</t>
  </si>
  <si>
    <t>Label: Electrolysis</t>
  </si>
  <si>
    <t>Label: Liquefaction</t>
  </si>
  <si>
    <t>Label: Haber-Bosch</t>
  </si>
  <si>
    <t>Label: Export-tank BOG reliq</t>
  </si>
  <si>
    <t>Total label</t>
  </si>
  <si>
    <t>Chart data · chart 7b (sweep of liquefaction SEC)</t>
  </si>
  <si>
    <t>SEC, kWh/kg</t>
  </si>
  <si>
    <t>LH₂ route</t>
  </si>
  <si>
    <t>NH₃ route</t>
  </si>
  <si>
    <t>Below minimum (band)</t>
  </si>
  <si>
    <t>KHI 8–9 (band)</t>
  </si>
  <si>
    <t>Normal-H₂ min</t>
  </si>
  <si>
    <t>Para-H₂ min</t>
  </si>
  <si>
    <t>Your input</t>
  </si>
  <si>
    <t>Parity</t>
  </si>
  <si>
    <t>Top of the 7b data (marker height)</t>
  </si>
  <si>
    <t>• Production follows the ship: the liquefier makes one LH₂ cargo (40,000 m³ × 70.8 kg/m³ at the fill); the ammonia plant makes one NH₃ cargo (40,000 m³ × 682 kg/m³). Its H₂ feed is cargo ÷ stoichiometric ratio, so the NH₃ route consumes more H₂ per cargo.</t>
  </si>
  <si>
    <t>• Haber-Bosch 1 kWh/kg H₂ is a user figure (= 0.18 kWh/kg NH₃). Repo placeholder is 0.5–0.7 kWh/kg NH₃ (≈ 2.8–3.9 kWh/kg H₂) incl. ASU, syngas compression and refrigeration [ESTIMATE]. Check whether the 1 kWh/kg includes the ASU.</t>
  </si>
  <si>
    <t>• No synthesis heat credit (exothermic steam excluded, as agreed for the chain study).</t>
  </si>
  <si>
    <t>• Tank boil-off on the full 60,000 m³ tank for the storage days per cargo, linear in days. LH₂ reliq 3.94 kWh/kg is a condensation-only duty [ASSUMPTION]; set 9 to charge full liquefaction. NH₃ reliq 0.25 kWh/kg is a repo placeholder [ESTIMATE].</t>
  </si>
  <si>
    <t>• Storage days per cargo depends on plant output and ship schedule, neither fixed yet; five days is a placeholder [ASSUMPTION].</t>
  </si>
  <si>
    <t>• Electrolysis (dropdown above): H₂ consumed by each route × electrolyser SEC. Off by default because both routes start from the same GH₂; on, it penalises the route that consumes more H₂ per cargo. Chart 7b then includes electrolysis in both routes. 60 kWh/kg is a placeholder [ASSUMPTION].</t>
  </si>
  <si>
    <t>• Not included: loading pumps and arms, flare or vent losses.</t>
  </si>
  <si>
    <t>• Minimum liquefaction work 3.3 (normal-H₂) / 3.9 (para-H₂) kWh/kg: doe-2009-h2-liquefaction-energy. KHI 8–9 kWh/kg: kawasaki-2026-questionnaire. Export tank BOR 0.1 %/day: kawasaki-2026-supplemental.</t>
  </si>
  <si>
    <t>Downstream · Regas vs Ammonia Cracking</t>
  </si>
  <si>
    <t>DOWNSTREAM · ONE SHIP CARGO, DISCHARGED → GASEOUS H₂</t>
  </si>
  <si>
    <t>How much energy does it take to turn one ship's cargo into gaseous hydrogen: vaporising LH₂ in a seawater ORV, or cracking NH₃ back to H₂?</t>
  </si>
  <si>
    <t>Boundary: cargo at receiving terminal → gaseous H₂ at send-out   |   Basis: one full 40,000 m³ cargo, or per kg H₂ delivered   |   Energy: MWh; fuels on LHV, electricity as delivered kWh</t>
  </si>
  <si>
    <t>H₂ delivered per cargo, LH₂ ship</t>
  </si>
  <si>
    <t>H₂ delivered per cargo, NH₃ (NG-fired)</t>
  </si>
  <si>
    <t>H₂ delivered per cargo, NH₃ (clean fuel)</t>
  </si>
  <si>
    <t>LH₂ regas</t>
  </si>
  <si>
    <t>Cracker, NG-fired</t>
  </si>
  <si>
    <t>Cracker, clean fuel</t>
  </si>
  <si>
    <t>Cracking ÷ regas (NG-fired, per kg H₂)</t>
  </si>
  <si>
    <t>Inputs · LH₂ regas, ORV seawater</t>
  </si>
  <si>
    <t>Regas heat duty</t>
  </si>
  <si>
    <t>KHI · cited (kawasaki-2026-questionnaire)</t>
  </si>
  <si>
    <t>Send-out pressure</t>
  </si>
  <si>
    <t>barg</t>
  </si>
  <si>
    <t>[ASSUMPTION]</t>
  </si>
  <si>
    <t>LH₂ pump efficiency</t>
  </si>
  <si>
    <t>Seawater ΔT</t>
  </si>
  <si>
    <t>K</t>
  </si>
  <si>
    <t>Seawater cp</t>
  </si>
  <si>
    <t>kJ/kg·K</t>
  </si>
  <si>
    <t>Seawater pump head</t>
  </si>
  <si>
    <t>m</t>
  </si>
  <si>
    <t>Seawater pump efficiency</t>
  </si>
  <si>
    <t>Inputs · NH₃ cracker</t>
  </si>
  <si>
    <t>NH₃ feed, NG-fired</t>
  </si>
  <si>
    <t>NH₃ feed, clean fuel (NH₃-fired)</t>
  </si>
  <si>
    <t>Cracker electricity</t>
  </si>
  <si>
    <t>Annual H₂ for the check</t>
  </si>
  <si>
    <t>t/y</t>
  </si>
  <si>
    <t>implied by user table</t>
  </si>
  <si>
    <t>Inputs · import-tank boil-off (storage)</t>
  </si>
  <si>
    <t>Include re-liquefaction of import-tank boil-off</t>
  </si>
  <si>
    <t>Yes</t>
  </si>
  <si>
    <t>Hold time</t>
  </si>
  <si>
    <t>[ASSUMPTION] repo</t>
  </si>
  <si>
    <t>LH₂ tank BOR</t>
  </si>
  <si>
    <t>KHI · cited (kawasaki-2026-supplemental)</t>
  </si>
  <si>
    <t>LH₂ reliq</t>
  </si>
  <si>
    <t>repo [ASSUMPTION]</t>
  </si>
  <si>
    <t>NH₃ tank BOR</t>
  </si>
  <si>
    <t>NH₃ reliq</t>
  </si>
  <si>
    <t>LH₂ send-out pump</t>
  </si>
  <si>
    <t>= (1 ÷ ρ) × ΔP ÷ η</t>
  </si>
  <si>
    <t>Seawater flow</t>
  </si>
  <si>
    <t>kg/kg LH₂</t>
  </si>
  <si>
    <t>= duty ÷ (cp × ΔT)</t>
  </si>
  <si>
    <t>Seawater pump</t>
  </si>
  <si>
    <t>g = 9.81 m/s²</t>
  </si>
  <si>
    <t>Import-tank BOG reliq (per kg LH₂)</t>
  </si>
  <si>
    <t>Regas total</t>
  </si>
  <si>
    <t>Import-tank BOG reliq, NH₃ cargo</t>
  </si>
  <si>
    <t>NH₃ energy content</t>
  </si>
  <si>
    <t>kWh/kg NH₃</t>
  </si>
  <si>
    <t>H₂ in LH₂ cargo</t>
  </si>
  <si>
    <t>H₂ from NH₃ cargo, NG-fired</t>
  </si>
  <si>
    <t>= cargo ÷ feed</t>
  </si>
  <si>
    <t>H₂ from NH₃ cargo, clean fuel</t>
  </si>
  <si>
    <t>Regas per cargo</t>
  </si>
  <si>
    <t>Cracker per cargo, NG-fired</t>
  </si>
  <si>
    <t>NH₃ burned + NG (NH₃-eq) + power + tank</t>
  </si>
  <si>
    <t>Cracker per cargo, clean fuel</t>
  </si>
  <si>
    <t>NH₃ burned + power + tank</t>
  </si>
  <si>
    <t>Divisor, regas</t>
  </si>
  <si>
    <t>Divisor, cracker NG</t>
  </si>
  <si>
    <t>Divisor, cracker clean</t>
  </si>
  <si>
    <t>Regas on chart basis</t>
  </si>
  <si>
    <t>Cracker NG-fired on chart basis</t>
  </si>
  <si>
    <t>Cracker clean fuel on chart basis</t>
  </si>
  <si>
    <t>Check · user's cracker fuel table</t>
  </si>
  <si>
    <t>Cracking fuel</t>
  </si>
  <si>
    <t>kg NH₃(-eq)/y</t>
  </si>
  <si>
    <t>MJ/y</t>
  </si>
  <si>
    <t>MMBtu/y</t>
  </si>
  <si>
    <t>MWh/y</t>
  </si>
  <si>
    <t>Natural gas · (feed clean − feed NG) × H₂</t>
  </si>
  <si>
    <t>Ammonia · (feed NG − stoich) × H₂</t>
  </si>
  <si>
    <t>Electricity · kWh × H₂</t>
  </si>
  <si>
    <t>Regas energy build-up (per kg LH₂ and per cargo)</t>
  </si>
  <si>
    <t>Component</t>
  </si>
  <si>
    <t>kWh/kg LH₂</t>
  </si>
  <si>
    <t>MWh per cargo</t>
  </si>
  <si>
    <t>Import-tank BOG reliq</t>
  </si>
  <si>
    <t>Chart data · chart 5 (three bars) and chart 6 (regas zoom)</t>
  </si>
  <si>
    <t>NH₃ burned as fuel</t>
  </si>
  <si>
    <t>Natural gas (NH₃-eq)</t>
  </si>
  <si>
    <t>Label: NH₃ burned as fuel</t>
  </si>
  <si>
    <t>Label: Natural gas (NH₃-eq)</t>
  </si>
  <si>
    <t>Label: Cracker electricity</t>
  </si>
  <si>
    <t>Label: LH₂ send-out pump</t>
  </si>
  <si>
    <t>Label: Seawater pump</t>
  </si>
  <si>
    <t>Label: Import-tank BOG reliq</t>
  </si>
  <si>
    <t>NH₃ cracker · clean fuel</t>
  </si>
  <si>
    <t>NH₃ cracker · NG-fired</t>
  </si>
  <si>
    <t>LH₂ regas (ORV)</t>
  </si>
  <si>
    <t>• The ORV heat is free: the 3.8 MJ/kg regas duty comes from ambient seawater; the only purchased energy is the pumps for LH₂ and seawater (kawasaki-2026-questionnaire). Pump settings (30 barg, 70 %, ΔT 5 K, 20 m, 75 %) are first-principles repo assumptions that reproduce the 0.031 kWh/kg ORV figure [ASSUMPTION].</t>
  </si>
  <si>
    <t>• Not included: seawater electro-chlorination, lighting and control power, cold-energy recovery [ESTIMATE – needs source]; they are small next to the pumps.</t>
  </si>
  <si>
    <t>• Cracker firing modes: NG-fired burns (6.5 − 5.6) = 0.9 kg NH₃/kg H₂ as PSA tail gas and 0.7 kg NH₃-eq as natural gas. Clean-fuel fires 1.6 kg NH₃/kg H₂ with no gas. Fired energy per kg H₂ is the same by construction (1.6 × 18.6 = 29.8 MJ).</t>
  </si>
  <si>
    <t>• Thermodynamic sanity check: minimum cracking heat 15.2 MJ/kg H₂ (45.9 kJ/mol NH₃, repo, needs source) ⇒ ~51 % of fired heat goes into the reaction: plausible.</t>
  </si>
  <si>
    <t>• Mixed energy quality: cracker bars add fuel (LHV) to electricity; regas is electricity only. Quantity of energy, not primary energy.</t>
  </si>
  <si>
    <t>• Same send-out pressure assumed for both routes; no extra H₂ compression [ASSUMPTION].</t>
  </si>
  <si>
    <t>• Each bar is one full 40,000 m³ cargo before voyage losses. Stoichiometry 5.6 rounds the exact 5.632 (2 × 17.031 ÷ (3 × 2.016)).</t>
  </si>
  <si>
    <t>• Sources: user inputs (2026-09-24); kawasaki-2026-questionnaire (ORV, 3.8 MJ/kg); kawasaki-2026-supplemental (BOR 0.1 %/day); data/carriers/chain-energy-defaults.csv.</t>
  </si>
  <si>
    <t>Full Chain · End-to-End Energy</t>
  </si>
  <si>
    <t>FULL CHAIN · GH₂ AT BATTERY LIMIT → GASEOUS H₂ AT SEND-OUT</t>
  </si>
  <si>
    <t>Total energy to move hydrogen from the export plant to gaseous H₂ at the import terminal, for one 40,000 m³ cargo. Every number is pulled live from the Upstream, Midstream and Downstream sheets.</t>
  </si>
  <si>
    <t>Boundary: Upstream + Midstream + Downstream, electrolysis optional (set on Upstream)   |   Basis: one cargo, or per kg H₂ delivered   |   Energy: MWh; fuels and H₂ burned on LHV, electricity as delivered kWh</t>
  </si>
  <si>
    <t>Key results (per kg H₂ delivered)</t>
  </si>
  <si>
    <t>LH₂ chain</t>
  </si>
  <si>
    <t>NH₃ chain · NG-fired cracker</t>
  </si>
  <si>
    <t>NH₃ chain · clean-fuel cracker</t>
  </si>
  <si>
    <t>LH₂ vs NH₃ (NG-fired)</t>
  </si>
  <si>
    <t>per kg H₂ delivered</t>
  </si>
  <si>
    <t>Inputs · voyage</t>
  </si>
  <si>
    <t>Sea days charged per cargo</t>
  </si>
  <si>
    <t>[ASSUMPTION] laden leg · no corridor fixed</t>
  </si>
  <si>
    <t>Also charge the ballast leg (same days, VLSFO only)</t>
  </si>
  <si>
    <t>Inputs · NH₃ vessel fuel</t>
  </si>
  <si>
    <t>NH₃ vessel fuel</t>
  </si>
  <si>
    <t>Dual fuel NH3/VLSFO</t>
  </si>
  <si>
    <t>dropdown · shared with Annual Energy and Energy Cost</t>
  </si>
  <si>
    <t>Ammonia fuel taken from</t>
  </si>
  <si>
    <t>Bunkered</t>
  </si>
  <si>
    <t>dropdown · applies to dual fuel only</t>
  </si>
  <si>
    <t>Electrolysis (set on Upstream)</t>
  </si>
  <si>
    <t>Include electrolysis</t>
  </si>
  <si>
    <t>Upstream</t>
  </si>
  <si>
    <t>Per kg H2 delivered (kWh)</t>
  </si>
  <si>
    <t>Model · voyage and fuel</t>
  </si>
  <si>
    <t>Dual fuel? (1 = yes)</t>
  </si>
  <si>
    <t>Ammonia fuel from cargo? (1 = yes)</t>
  </si>
  <si>
    <t>Ballast leg charged? (1 = yes)</t>
  </si>
  <si>
    <t>LH₂ boil-off over voyage</t>
  </si>
  <si>
    <t>…of which burned in engine</t>
  </si>
  <si>
    <t>…of which surplus to GCU / vent</t>
  </si>
  <si>
    <t>LH₂ ship VLSFO bought</t>
  </si>
  <si>
    <t>NH₃ ship ammonia fuel</t>
  </si>
  <si>
    <t>t NH₃</t>
  </si>
  <si>
    <t>NH₃ ship VLSFO (pilot or all)</t>
  </si>
  <si>
    <t>NH₃ cargo arriving</t>
  </si>
  <si>
    <t>Arriving ÷ loaded</t>
  </si>
  <si>
    <t>LH₂ delivered</t>
  </si>
  <si>
    <t>cargo − voyage boil-off</t>
  </si>
  <si>
    <t>Energy ledger per cargo, kWh</t>
  </si>
  <si>
    <t>Line item</t>
  </si>
  <si>
    <t>NH₃ · NG-fired</t>
  </si>
  <si>
    <t>NH₃ · clean fuel</t>
  </si>
  <si>
    <t>Ship fuel bought (VLSFO / NH₃ + pilot)</t>
  </si>
  <si>
    <t>Cargo burned as ship fuel (H₂ or NH₃)</t>
  </si>
  <si>
    <t>Regas / cracking (incl. import tank)</t>
  </si>
  <si>
    <t>H₂ delivered, kg</t>
  </si>
  <si>
    <t>H₂ into the plant, kg</t>
  </si>
  <si>
    <t>Energy per kg H₂ delivered, kWh/kg</t>
  </si>
  <si>
    <t>Hydrogen mass balance · one cargo</t>
  </si>
  <si>
    <t>Chain</t>
  </si>
  <si>
    <t>H₂ into plant, t</t>
  </si>
  <si>
    <t>H₂ in cargo loaded, t</t>
  </si>
  <si>
    <t>Burned as ship fuel, t H₂(-eq)</t>
  </si>
  <si>
    <t>Burned in cracker, t H₂-eq</t>
  </si>
  <si>
    <t>H₂ delivered, t</t>
  </si>
  <si>
    <t>Delivered ÷ H₂ in</t>
  </si>
  <si>
    <t>Line items · MWh and kWh per kg H₂ delivered</t>
  </si>
  <si>
    <t>NH₃ NG-fired, MWh</t>
  </si>
  <si>
    <t>NH₃ clean fuel, MWh</t>
  </si>
  <si>
    <t>Ship fuel bought</t>
  </si>
  <si>
    <t>Regas / cracking</t>
  </si>
  <si>
    <t>Stage totals per cargo, kWh (feeds charts 8, 9, 13–14)</t>
  </si>
  <si>
    <t>Stage</t>
  </si>
  <si>
    <t>Upstream (liquefaction / Haber-Bosch + tank)</t>
  </si>
  <si>
    <t>Shipping fuel</t>
  </si>
  <si>
    <t>Shipping: cargo burned as fuel</t>
  </si>
  <si>
    <t>Downstream (regas / cracking)</t>
  </si>
  <si>
    <t>Chart data · chart 8</t>
  </si>
  <si>
    <t>Label: Upstream (liquefaction / Haber-Bosch + tank)</t>
  </si>
  <si>
    <t>Label: Shipping fuel</t>
  </si>
  <si>
    <t>Label: Shipping: cargo burned as fuel</t>
  </si>
  <si>
    <t>Label: Downstream (regas / cracking)</t>
  </si>
  <si>
    <t>• Per kg H₂ delivered divides total chain energy by the gaseous H₂ leaving the import terminal. LH₂: cargo less voyage boil-off. NH₃: cargo ÷ cracker feed rate (6.5 or 7.2 kg NH₃/kg H₂).</t>
  </si>
  <si>
    <t>• Voyage: sea days × the Midstream daily figures, linear in days. Twenty laden days is a placeholder [ASSUMPTION]; no corridor fixed yet. Ballast leg off by default; when on, each ship burns its full daily demand as VLSFO for the same days, heel boil-off ignored [ASSUMPTION].</t>
  </si>
  <si>
    <t>• Hydrogen burned on the LH₂ ship counts as energy used (120 MJ/kg), whether engine or, above the crossover rate, GCU.</t>
  </si>
  <si>
    <t>• NH₃ vessel fuel is selectable. Dual fuel burns the Midstream NH₃ share (95 %) of the 30 t/d VLSFO-eq demand as ammonia, rest VLSFO pilot; VLSFO only burns it all as VLSFO. Default: ammonia fuel bunkered separately and cargo arrives whole [ASSUMPTION]. 'Cargo' moves that energy into 'cargo burned' and lowers H₂ delivered per cargo.</t>
  </si>
  <si>
    <t>• Downstream is charged on the delivered cargo, so regas is slightly lower here than on the Downstream sheet (full cargo).</t>
  </si>
  <si>
    <t>• Energy quality is mixed: electricity, fuel heat and burned hydrogen are added on an LHV basis. Quantity of energy, not primary energy or exergy.</t>
  </si>
  <si>
    <t>• Electrolysis (Upstream dropdown): charges the H₂ each chain consumes; penalises the route losing more H₂ per kg delivered. 60 kWh/kg is a placeholder [ASSUMPTION].</t>
  </si>
  <si>
    <t>• All Upstream, Midstream and Downstream caveats carry over (notably the Haber-Bosch 1 kWh/kg H₂ ASU question and placeholder reliq/storage values).</t>
  </si>
  <si>
    <t>Annual Energy · Annual Supply Case</t>
  </si>
  <si>
    <t>CASE STUDY · CONTRACTED ANNUAL DELIVERY</t>
  </si>
  <si>
    <t>What it takes, in energy, cargoes, ships and plant size, to deliver a contracted annual volume of gaseous H₂ by each chain. Per-kg results come live from the Full Chain sheet.</t>
  </si>
  <si>
    <t>Boundary: same as Full Chain: GH₂ at battery limit → gaseous H₂ at send-out   |   Basis: per year, at the contracted delivered volume   |   Energy: GWh/y; average MW = GWh/y ÷ 8.76</t>
  </si>
  <si>
    <t>Inputs · contract and fleet</t>
  </si>
  <si>
    <t>H₂ delivered</t>
  </si>
  <si>
    <t>ktpa</t>
  </si>
  <si>
    <t>user · default 100</t>
  </si>
  <si>
    <t>Port days per call</t>
  </si>
  <si>
    <t>KHI 1–1.5 midpoint (kawasaki-2026-questionnaire)</t>
  </si>
  <si>
    <t>Fleet availability</t>
  </si>
  <si>
    <t>repo [ASSUMPTION] (chain-energy-defaults.csv)</t>
  </si>
  <si>
    <t>Linked from Full Chain</t>
  </si>
  <si>
    <t>Sea days</t>
  </si>
  <si>
    <t>Full Chain</t>
  </si>
  <si>
    <t>Ballast charged</t>
  </si>
  <si>
    <t>Electrolysis included</t>
  </si>
  <si>
    <t>GWh/y</t>
  </si>
  <si>
    <t>LH₂ minus NH₃ (NG-fired)</t>
  </si>
  <si>
    <t>Model</t>
  </si>
  <si>
    <t>Contracted H₂ delivered</t>
  </si>
  <si>
    <t>kg/y</t>
  </si>
  <si>
    <t>Round trip</t>
  </si>
  <si>
    <t>= 2 × sea + 2 × port (ballast leg assumed as long as laden)</t>
  </si>
  <si>
    <t>Voyages per ship per year</t>
  </si>
  <si>
    <t>1/y</t>
  </si>
  <si>
    <t>= 365 × availability ÷ round trip</t>
  </si>
  <si>
    <t>Logistics · what the contract needs</t>
  </si>
  <si>
    <t>H₂ delivered per cargo, t</t>
  </si>
  <si>
    <t>Cargoes per year</t>
  </si>
  <si>
    <t>Ships needed</t>
  </si>
  <si>
    <t>Ships (unrounded)</t>
  </si>
  <si>
    <t>H₂ into plant, ktpa</t>
  </si>
  <si>
    <t>Plant output, ktpa</t>
  </si>
  <si>
    <t>Plant output, t/day</t>
  </si>
  <si>
    <t>Product</t>
  </si>
  <si>
    <t>Annual energy by line item</t>
  </si>
  <si>
    <t>LH₂, GWh/y</t>
  </si>
  <si>
    <t>MW avg</t>
  </si>
  <si>
    <t>NH₃ NG-fired, GWh/y</t>
  </si>
  <si>
    <t>NH₃ clean fuel, GWh/y</t>
  </si>
  <si>
    <t>Ship fuel burned per year</t>
  </si>
  <si>
    <t>VLSFO, t/y</t>
  </si>
  <si>
    <t>NH₃ fuel, t/y</t>
  </si>
  <si>
    <t>H₂ burned, t/y</t>
  </si>
  <si>
    <t>NH₃ fuel from</t>
  </si>
  <si>
    <t>Stage totals, GWh per year (chart 9)</t>
  </si>
  <si>
    <t>Total, GWh/y</t>
  </si>
  <si>
    <t>Chart data · chart 9</t>
  </si>
  <si>
    <t>• Scaling: annual energy = Full Chain energy per kg H₂ delivered × contracted volume. Cargoes per year = contract ÷ H₂ delivered per cargo, kept fractional for energy (part cargo = part of a year-round flow).</t>
  </si>
  <si>
    <t>• Fleet: round trip = 2 × sea days + 2 × port days; ballast leg as long as laden whether or not its fuel is charged. Voyages per ship per year = 365 × availability ÷ round trip; ships = cargoes per year ÷ voyages per ship, rounded up. 40,000 m³ hull for both chains. Port days: KHI 1–1.5 midpoint (kawasaki-2026-questionnaire). Availability 90 % [ASSUMPTION].</t>
  </si>
  <si>
    <t>• NH₃ vessel fuel: dual fuel burns 95 % of the 30 t/d VLSFO-eq demand as ammonia; VLSFO only burns it all as VLSFO. Taking ammonia from cargo shrinks the cargo reaching the cracker, lowers H₂ delivered per cargo and raises cargoes needed; the plant still makes a full cargo. Heel and boil-off not modelled.</t>
  </si>
  <si>
    <t>• Export-tank boil-off is charged per cargo (storage days per cargo, Upstream) and scales with cargoes per year; a tank farm holding inventory all year would boil off more. Tank count not sized.</t>
  </si>
  <si>
    <t>• Plant capacity = annual output ÷ 365 at 100 % utilisation; a real plant needs margin for availability and turndown [ASSUMPTION].</t>
  </si>
  <si>
    <t>• CO₂ is not calculated: no sourced VLSFO emission factor is held in this repo. All Full Chain, Upstream, Midstream and Downstream caveats carry over.</t>
  </si>
  <si>
    <t>Energy Cost · Chain Energy Cost at Origin</t>
  </si>
  <si>
    <t>ECONOMIC ORIGIN · ENERGY COST PER KG H₂ PRODUCED AT THE ELECTROLYSER (OR DELIVERED, VIA DROPDOWN)</t>
  </si>
  <si>
    <t>The annual energy bill of each chain at the Annual Energy volume, divided by the hydrogen the electrolyser plant produces (default) or by the hydrogen delivered. Charter, CapEx and non-energy OpEx are excluded.</t>
  </si>
  <si>
    <t>Boundary: same as Full Chain and Annual Energy   |   Basis: USD per kg H₂ produced (or delivered), and USD M per year   |   Energy: USD; prices are user inputs, no cost year stated</t>
  </si>
  <si>
    <t>Inputs · energy prices</t>
  </si>
  <si>
    <t>Upstream electricity</t>
  </si>
  <si>
    <t>USD/MWh</t>
  </si>
  <si>
    <t>Import-terminal electricity</t>
  </si>
  <si>
    <t>[ASSUMPTION] placeholder = upstream · set yours</t>
  </si>
  <si>
    <t>VLSFO</t>
  </si>
  <si>
    <t>Natural gas (applied on LHV)</t>
  </si>
  <si>
    <t>USD/MMBtu</t>
  </si>
  <si>
    <t>Ammonia</t>
  </si>
  <si>
    <t>USD/t NH₃</t>
  </si>
  <si>
    <t>H₂ price (cargo H₂ burned by the LH₂ ship)</t>
  </si>
  <si>
    <t>slider in artifact · between 0 and 10</t>
  </si>
  <si>
    <t>Energy per MMBtu</t>
  </si>
  <si>
    <t>MJ/MMBtu</t>
  </si>
  <si>
    <t>unit conversion</t>
  </si>
  <si>
    <t>Per kg of</t>
  </si>
  <si>
    <t>H2 produced (Economic Origin)</t>
  </si>
  <si>
    <t>dropdown · Economic Origin (produced) or Economics (delivered)</t>
  </si>
  <si>
    <t>Linked from other sheets</t>
  </si>
  <si>
    <t>Annual volume delivered</t>
  </si>
  <si>
    <t>Annual Energy</t>
  </si>
  <si>
    <t>Ammonia fuel from</t>
  </si>
  <si>
    <t>USD/kg H₂</t>
  </si>
  <si>
    <t>NH₃ · NG-fired cracker</t>
  </si>
  <si>
    <t>NH₃ · clean-fuel cracker</t>
  </si>
  <si>
    <t>LH₂ − NH₃ (NG-fired)</t>
  </si>
  <si>
    <t>Breakeven H₂ price vs NG-fired</t>
  </si>
  <si>
    <t>LH₂ chain cost = NG-fired chain cost</t>
  </si>
  <si>
    <t>Breakeven H₂ price vs clean fuel</t>
  </si>
  <si>
    <t>LH₂ chain cost = clean-fuel chain cost</t>
  </si>
  <si>
    <t>Energy quantities per cargo</t>
  </si>
  <si>
    <t>Energy line (per cargo)</t>
  </si>
  <si>
    <t>LH₂, qty</t>
  </si>
  <si>
    <t>NH₃ NG-fired, qty</t>
  </si>
  <si>
    <t>NH₃ clean fuel, qty</t>
  </si>
  <si>
    <t>Price (USD per unit)</t>
  </si>
  <si>
    <t>Upstream electricity, MWh</t>
  </si>
  <si>
    <t>VLSFO, t</t>
  </si>
  <si>
    <t>Ammonia fuel, t NH₃</t>
  </si>
  <si>
    <t>Natural gas, MMBtu</t>
  </si>
  <si>
    <t>Import-terminal electricity, MWh</t>
  </si>
  <si>
    <t>Cargo H₂ burned, kg (priced at H₂ price)</t>
  </si>
  <si>
    <t>Cost per cargo, USD</t>
  </si>
  <si>
    <t>NH₃ NG-fired</t>
  </si>
  <si>
    <t>NH₃ clean fuel</t>
  </si>
  <si>
    <t>Ammonia fuel</t>
  </si>
  <si>
    <t>Natural gas</t>
  </si>
  <si>
    <t>Cargo H₂ burned</t>
  </si>
  <si>
    <t>Total, excluding cargo H₂ burned</t>
  </si>
  <si>
    <t>Denominator and cost per kg</t>
  </si>
  <si>
    <t>Item</t>
  </si>
  <si>
    <t>H₂ produced per cargo, kg</t>
  </si>
  <si>
    <t>H₂ delivered per cargo, kg</t>
  </si>
  <si>
    <t>Denominator on chosen basis, kg</t>
  </si>
  <si>
    <t>Annual kg on this basis</t>
  </si>
  <si>
    <t>Fixed cost a, USD/kg</t>
  </si>
  <si>
    <t>Price slope b, kg burned H₂ per kg</t>
  </si>
  <si>
    <t>Energy cost at the H₂ price, USD/kg</t>
  </si>
  <si>
    <t>Annual energy cost, USD M/y</t>
  </si>
  <si>
    <t>Cost lines, USD per kg on the chosen basis</t>
  </si>
  <si>
    <t>USD per kg H₂ (chosen basis)</t>
  </si>
  <si>
    <t>Energy intensity, kWh per kg on the chosen basis</t>
  </si>
  <si>
    <t>kWh per kg H₂ (chosen basis)</t>
  </si>
  <si>
    <t>Total, chosen basis</t>
  </si>
  <si>
    <t>H₂ on this basis per cargo, t</t>
  </si>
  <si>
    <t>Reference: per kg on the other basis</t>
  </si>
  <si>
    <t>Chart data · chart 12 (H₂ price sweep)</t>
  </si>
  <si>
    <t>Breakeven vs NG-fired</t>
  </si>
  <si>
    <t>Breakeven vs clean fuel</t>
  </si>
  <si>
    <t>Chart data · chart 13 (cost by carrier)</t>
  </si>
  <si>
    <t>Label: Upstream electricity</t>
  </si>
  <si>
    <t>Label: VLSFO</t>
  </si>
  <si>
    <t>Label: Ammonia fuel</t>
  </si>
  <si>
    <t>Label: Cargo H₂ burned</t>
  </si>
  <si>
    <t>Label: Natural gas</t>
  </si>
  <si>
    <t>Label: Import-terminal electricity</t>
  </si>
  <si>
    <t>Chart data · chart 14 (energy intensity)</t>
  </si>
  <si>
    <t>• Energy cost only: each Full Chain energy line is priced at its own carrier price. Charter hire, CapEx, fixed OpEx, port fees, carbon cost and the price of the H₂ feed itself are excluded.</t>
  </si>
  <si>
    <t>• Losses only: hydrogen and ammonia are charged only where burned (LH₂ boil-off at the H₂ price; ammonia burned on the ship and in the cracker at the ammonia price). H₂ feed into the plant is not charged; switch on electrolysis on Upstream to charge it as electricity.</t>
  </si>
  <si>
    <t>• Natural gas is the cracker's NH₃-equivalent LHV gas demand at 1,055.056 MJ/MMBtu and 13 USD/MMBtu, no HHV adjustment (user choice). HHV-priced gas would cost about 10 % more [ESTIMATE – needs source].</t>
  </si>
  <si>
    <t>• Electricity: upstream covers liquefaction, Haber-Bosch, export-tank reliq and electrolysis if on. Import-terminal electricity covers regas pumps, import-tank reliq and the cracker's 0.29 kWh/kg. Import price is a placeholder equal to upstream until set [ASSUMPTION].</t>
  </si>
  <si>
    <t>• Denominator: dropdown. 'Produced' (Economic Origin) divides the annual bill by the H₂ the electrolyser makes (H₂ into the liquefier / Haber-Bosch loop); 'delivered' (Economics) by the H₂ leaving the import terminal. USD M/y is identical on both; the route losing more H₂ looks relatively cheaper on the produced basis.</t>
  </si>
  <si>
    <t>• Prices here are separate from the Midstream VLSFO / NH₃ inputs, which only drive that sheet's ship-day breakeven. Volumes, fuel mode, sea days and every energy assumption come from Annual Energy and Full Chain.</t>
  </si>
</sst>
</file>

<file path=xl/styles.xml><?xml version="1.0" encoding="utf-8"?>
<styleSheet xmlns="http://schemas.openxmlformats.org/spreadsheetml/2006/main">
  <numFmts count="7">
    <numFmt numFmtId="164" formatCode="@"/>
    <numFmt numFmtId="165" formatCode="#,##0"/>
    <numFmt numFmtId="166" formatCode="#,##0.00"/>
    <numFmt numFmtId="167" formatCode="0.0%"/>
    <numFmt numFmtId="168" formatCode="#,##0.0"/>
    <numFmt numFmtId="169" formatCode="#,##0.000"/>
    <numFmt numFmtId="170" formatCode="#,##0.0000"/>
  </numFmts>
  <fonts count="20">
    <font>
      <sz val="11"/>
      <color theme="1"/>
      <name val="Calibri"/>
      <family val="2"/>
      <scheme val="minor"/>
    </font>
    <font>
      <sz val="8"/>
      <color rgb="FF75BA75"/>
      <name val="Verdana"/>
      <family val="2"/>
    </font>
    <font>
      <b/>
      <sz val="16"/>
      <color rgb="FFFFFFFF"/>
      <name val="Verdana"/>
      <family val="2"/>
    </font>
    <font>
      <b/>
      <sz val="8"/>
      <color rgb="FF00C8E8"/>
      <name val="Verdana"/>
      <family val="2"/>
    </font>
    <font>
      <sz val="9"/>
      <color rgb="FFFFFFFF"/>
      <name val="Verdana"/>
      <family val="2"/>
    </font>
    <font>
      <sz val="8"/>
      <color rgb="FF441D62"/>
      <name val="Verdana"/>
      <family val="2"/>
    </font>
    <font>
      <i/>
      <sz val="8"/>
      <color rgb="FF65758B"/>
      <name val="Verdana"/>
      <family val="2"/>
    </font>
    <font>
      <b/>
      <sz val="10"/>
      <color rgb="FF7030A0"/>
      <name val="Verdana"/>
      <family val="2"/>
    </font>
    <font>
      <sz val="9"/>
      <color rgb="FF3A3935"/>
      <name val="Verdana"/>
      <family val="2"/>
    </font>
    <font>
      <sz val="9"/>
      <color rgb="FF3A3935"/>
      <name val="Verdana"/>
      <family val="2"/>
    </font>
    <font>
      <b/>
      <sz val="9"/>
      <color rgb="FF441D62"/>
      <name val="Verdana"/>
      <family val="2"/>
    </font>
    <font>
      <sz val="9"/>
      <color rgb="FF65758B"/>
      <name val="Verdana"/>
      <family val="2"/>
    </font>
    <font>
      <b/>
      <sz val="10"/>
      <color rgb="FF60269E"/>
      <name val="Verdana"/>
      <family val="2"/>
    </font>
    <font>
      <sz val="9"/>
      <color rgb="FF1F2933"/>
      <name val="Verdana"/>
      <family val="2"/>
    </font>
    <font>
      <b/>
      <sz val="9"/>
      <color rgb="FF7030A0"/>
      <name val="Verdana"/>
      <family val="2"/>
    </font>
    <font>
      <b/>
      <sz val="8"/>
      <color rgb="FFFFFFFF"/>
      <name val="Verdana"/>
      <family val="2"/>
    </font>
    <font>
      <b/>
      <sz val="9"/>
      <color rgb="FF3A3935"/>
      <name val="Verdana"/>
      <family val="2"/>
    </font>
    <font>
      <b/>
      <sz val="9"/>
      <color rgb="FF60269E"/>
      <name val="Verdana"/>
      <family val="2"/>
    </font>
    <font>
      <b/>
      <sz val="9"/>
      <color rgb="FF00C8E8"/>
      <name val="Verdana"/>
      <family val="2"/>
    </font>
    <font>
      <sz val="8"/>
      <color rgb="FF3A3935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60269E"/>
        <bgColor indexed="64"/>
      </patternFill>
    </fill>
    <fill>
      <patternFill patternType="solid">
        <fgColor rgb="FFF1EAF6"/>
        <bgColor indexed="64"/>
      </patternFill>
    </fill>
    <fill>
      <patternFill patternType="solid">
        <fgColor rgb="FFE3F8FC"/>
        <bgColor indexed="64"/>
      </patternFill>
    </fill>
    <fill>
      <patternFill patternType="solid">
        <fgColor rgb="FF1F2933"/>
        <bgColor indexed="64"/>
      </patternFill>
    </fill>
    <fill>
      <patternFill patternType="solid">
        <fgColor rgb="FFFDF0D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C8E8"/>
      </bottom>
      <diagonal/>
    </border>
    <border>
      <left style="thin">
        <color rgb="FFC9B3E0"/>
      </left>
      <right style="thin">
        <color rgb="FFC9B3E0"/>
      </right>
      <top style="thin">
        <color rgb="FFC9B3E0"/>
      </top>
      <bottom style="thin">
        <color rgb="FFC9B3E0"/>
      </bottom>
      <diagonal/>
    </border>
    <border>
      <left style="thin">
        <color rgb="FFA9E6F2"/>
      </left>
      <right style="thin">
        <color rgb="FFA9E6F2"/>
      </right>
      <top style="thin">
        <color rgb="FFA9E6F2"/>
      </top>
      <bottom style="thin">
        <color rgb="FFA9E6F2"/>
      </bottom>
      <diagonal/>
    </border>
    <border>
      <left/>
      <right/>
      <top/>
      <bottom style="thin">
        <color rgb="FFE8E8E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164" fontId="10" fillId="3" borderId="2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165" fontId="10" fillId="3" borderId="2" xfId="0" applyNumberFormat="1" applyFont="1" applyFill="1" applyBorder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5" fontId="13" fillId="4" borderId="3" xfId="0" applyNumberFormat="1" applyFont="1" applyFill="1" applyBorder="1" applyAlignment="1">
      <alignment horizontal="right" vertical="center"/>
    </xf>
    <xf numFmtId="168" fontId="13" fillId="4" borderId="3" xfId="0" applyNumberFormat="1" applyFont="1" applyFill="1" applyBorder="1" applyAlignment="1">
      <alignment horizontal="right" vertical="center"/>
    </xf>
    <xf numFmtId="168" fontId="10" fillId="3" borderId="2" xfId="0" applyNumberFormat="1" applyFont="1" applyFill="1" applyBorder="1" applyAlignment="1">
      <alignment horizontal="right" vertical="center"/>
    </xf>
    <xf numFmtId="166" fontId="10" fillId="3" borderId="2" xfId="0" applyNumberFormat="1" applyFont="1" applyFill="1" applyBorder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0" fontId="15" fillId="5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right" vertical="center" wrapText="1"/>
    </xf>
    <xf numFmtId="0" fontId="16" fillId="0" borderId="4" xfId="0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right" vertical="center"/>
    </xf>
    <xf numFmtId="168" fontId="8" fillId="0" borderId="4" xfId="0" applyNumberFormat="1" applyFont="1" applyBorder="1" applyAlignment="1">
      <alignment horizontal="right" vertical="center"/>
    </xf>
    <xf numFmtId="169" fontId="8" fillId="0" borderId="4" xfId="0" applyNumberFormat="1" applyFont="1" applyBorder="1" applyAlignment="1">
      <alignment horizontal="right" vertical="center"/>
    </xf>
    <xf numFmtId="0" fontId="10" fillId="3" borderId="4" xfId="0" applyFont="1" applyFill="1" applyBorder="1" applyAlignment="1">
      <alignment horizontal="left" vertical="center"/>
    </xf>
    <xf numFmtId="168" fontId="10" fillId="3" borderId="4" xfId="0" applyNumberFormat="1" applyFont="1" applyFill="1" applyBorder="1" applyAlignment="1">
      <alignment horizontal="right" vertical="center"/>
    </xf>
    <xf numFmtId="169" fontId="10" fillId="3" borderId="4" xfId="0" applyNumberFormat="1" applyFont="1" applyFill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0" fontId="16" fillId="0" borderId="4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166" fontId="8" fillId="0" borderId="0" xfId="0" applyNumberFormat="1" applyFont="1" applyAlignment="1">
      <alignment horizontal="left" vertical="center"/>
    </xf>
    <xf numFmtId="166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69" fontId="12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0" fontId="10" fillId="3" borderId="2" xfId="0" applyNumberFormat="1" applyFont="1" applyFill="1" applyBorder="1" applyAlignment="1">
      <alignment horizontal="right" vertical="center"/>
    </xf>
    <xf numFmtId="0" fontId="19" fillId="6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169" fontId="9" fillId="0" borderId="0" xfId="0" applyNumberFormat="1" applyFont="1" applyAlignment="1">
      <alignment horizontal="right" vertical="center"/>
    </xf>
    <xf numFmtId="166" fontId="16" fillId="0" borderId="4" xfId="0" applyNumberFormat="1" applyFont="1" applyBorder="1" applyAlignment="1">
      <alignment horizontal="left" vertical="center"/>
    </xf>
    <xf numFmtId="169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70" fontId="9" fillId="0" borderId="0" xfId="0" applyNumberFormat="1" applyFont="1" applyAlignment="1">
      <alignment horizontal="right" vertical="center"/>
    </xf>
    <xf numFmtId="170" fontId="8" fillId="0" borderId="4" xfId="0" applyNumberFormat="1" applyFont="1" applyBorder="1" applyAlignment="1">
      <alignment horizontal="right" vertical="center"/>
    </xf>
    <xf numFmtId="170" fontId="10" fillId="3" borderId="4" xfId="0" applyNumberFormat="1" applyFont="1" applyFill="1" applyBorder="1" applyAlignment="1">
      <alignment horizontal="right" vertical="center"/>
    </xf>
    <xf numFmtId="164" fontId="13" fillId="4" borderId="3" xfId="0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horizontal="left" vertical="center"/>
    </xf>
    <xf numFmtId="165" fontId="10" fillId="3" borderId="0" xfId="0" applyNumberFormat="1" applyFont="1" applyFill="1" applyAlignment="1">
      <alignment horizontal="right" vertical="center"/>
    </xf>
    <xf numFmtId="169" fontId="16" fillId="0" borderId="4" xfId="0" applyNumberFormat="1" applyFont="1" applyBorder="1" applyAlignment="1">
      <alignment horizontal="right" vertical="center"/>
    </xf>
    <xf numFmtId="167" fontId="8" fillId="0" borderId="4" xfId="0" applyNumberFormat="1" applyFont="1" applyBorder="1" applyAlignment="1">
      <alignment horizontal="right" vertical="center"/>
    </xf>
    <xf numFmtId="165" fontId="10" fillId="3" borderId="4" xfId="0" applyNumberFormat="1" applyFont="1" applyFill="1" applyBorder="1" applyAlignment="1">
      <alignment horizontal="right" vertical="center"/>
    </xf>
    <xf numFmtId="169" fontId="10" fillId="3" borderId="2" xfId="0" applyNumberFormat="1" applyFont="1" applyFill="1" applyBorder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'Upstream'!$B$68</c:f>
          <c:strCache>
            <c:ptCount val="1"/>
            <c:pt idx="0">
              <c:v>Liquefaction takes about 5.2× the energy of Haber-Bosch per cargo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Electrolysis</c:v>
          </c:tx>
          <c:spPr>
            <a:solidFill>
              <a:srgbClr val="75BA75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'Upstream'!$I$97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'Upstream'!$I$98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Upstream!$B$97:$B$98</c:f>
              <c:strCache>
                <c:ptCount val="2"/>
                <c:pt idx="0">
                  <c:v>NH₃ · Haber-Bosch</c:v>
                </c:pt>
                <c:pt idx="1">
                  <c:v>LH₂ · liquefaction</c:v>
                </c:pt>
              </c:strCache>
            </c:strRef>
          </c:cat>
          <c:val>
            <c:numRef>
              <c:f>Upstream!$C$97:$C$98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Liquefaction</c:v>
          </c:tx>
          <c:spPr>
            <a:solidFill>
              <a:srgbClr val="60269E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'Upstream'!$J$97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'Upstream'!$J$98</c:f>
                  <c:strCache>
                    <c:ptCount val="1"/>
                    <c:pt idx="0">
                      <c:v>25,488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Upstream!$B$97:$B$98</c:f>
              <c:strCache>
                <c:ptCount val="2"/>
                <c:pt idx="0">
                  <c:v>NH₃ · Haber-Bosch</c:v>
                </c:pt>
                <c:pt idx="1">
                  <c:v>LH₂ · liquefaction</c:v>
                </c:pt>
              </c:strCache>
            </c:strRef>
          </c:cat>
          <c:val>
            <c:numRef>
              <c:f>Upstream!$D$97:$D$98</c:f>
              <c:numCache>
                <c:formatCode>General</c:formatCode>
                <c:ptCount val="2"/>
                <c:pt idx="0">
                  <c:v>0</c:v>
                </c:pt>
                <c:pt idx="1">
                  <c:v>25488</c:v>
                </c:pt>
              </c:numCache>
            </c:numRef>
          </c:val>
        </c:ser>
        <c:ser>
          <c:idx val="2"/>
          <c:order val="2"/>
          <c:tx>
            <c:v>Haber-Bosch</c:v>
          </c:tx>
          <c:spPr>
            <a:solidFill>
              <a:srgbClr val="00C8E8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'Upstream'!$K$97</c:f>
                  <c:strCache>
                    <c:ptCount val="1"/>
                    <c:pt idx="0">
                      <c:v>4,871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'Upstream'!$K$98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Upstream!$B$97:$B$98</c:f>
              <c:strCache>
                <c:ptCount val="2"/>
                <c:pt idx="0">
                  <c:v>NH₃ · Haber-Bosch</c:v>
                </c:pt>
                <c:pt idx="1">
                  <c:v>LH₂ · liquefaction</c:v>
                </c:pt>
              </c:strCache>
            </c:strRef>
          </c:cat>
          <c:val>
            <c:numRef>
              <c:f>Upstream!$E$97:$E$98</c:f>
              <c:numCache>
                <c:formatCode>General</c:formatCode>
                <c:ptCount val="2"/>
                <c:pt idx="0">
                  <c:v>4871.42857142857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Export-tank BOG reliq</c:v>
          </c:tx>
          <c:spPr>
            <a:solidFill>
              <a:srgbClr val="65758B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'Upstream'!$L$97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'Upstream'!$L$98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Upstream!$B$97:$B$98</c:f>
              <c:strCache>
                <c:ptCount val="2"/>
                <c:pt idx="0">
                  <c:v>NH₃ · Haber-Bosch</c:v>
                </c:pt>
                <c:pt idx="1">
                  <c:v>LH₂ · liquefaction</c:v>
                </c:pt>
              </c:strCache>
            </c:strRef>
          </c:cat>
          <c:val>
            <c:numRef>
              <c:f>Upstream!$F$97:$F$98</c:f>
              <c:numCache>
                <c:formatCode>General</c:formatCode>
                <c:ptCount val="2"/>
                <c:pt idx="0">
                  <c:v>25.575</c:v>
                </c:pt>
                <c:pt idx="1">
                  <c:v>83.6856</c:v>
                </c:pt>
              </c:numCache>
            </c:numRef>
          </c:val>
        </c:ser>
        <c:ser>
          <c:idx val="4"/>
          <c:order val="4"/>
          <c:tx>
            <c:v> </c:v>
          </c:tx>
          <c:spPr>
            <a:noFill/>
            <a:ln>
              <a:noFill/>
            </a:ln>
          </c:spPr>
          <c:dLbls>
            <c:dLbl>
              <c:idx val="0"/>
              <c:layout/>
              <c:tx>
                <c:strRef>
                  <c:f>'Upstream'!$M$97</c:f>
                  <c:strCache>
                    <c:ptCount val="1"/>
                    <c:pt idx="0">
                      <c:v>4,897 MWh</c:v>
                    </c:pt>
                  </c:strCache>
                </c:strRef>
              </c:tx>
              <c:dLblPos val="inBase"/>
              <c:showVal val="1"/>
            </c:dLbl>
            <c:dLbl>
              <c:idx val="1"/>
              <c:layout/>
              <c:tx>
                <c:strRef>
                  <c:f>'Upstream'!$M$98</c:f>
                  <c:strCache>
                    <c:ptCount val="1"/>
                    <c:pt idx="0">
                      <c:v>25,572 MWh</c:v>
                    </c:pt>
                  </c:strCache>
                </c:strRef>
              </c:tx>
              <c:dLblPos val="inBase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inBase"/>
            <c:showVal val="1"/>
          </c:dLbls>
          <c:cat>
            <c:strRef>
              <c:f>Upstream!$B$97:$B$98</c:f>
              <c:strCache>
                <c:ptCount val="2"/>
                <c:pt idx="0">
                  <c:v>NH₃ · Haber-Bosch</c:v>
                </c:pt>
                <c:pt idx="1">
                  <c:v>LH₂ · liquefaction</c:v>
                </c:pt>
              </c:strCache>
            </c:strRef>
          </c:cat>
          <c:val>
            <c:numRef>
              <c:f>Upstream!$H$97:$H$98</c:f>
              <c:numCache>
                <c:formatCode>General</c:formatCode>
                <c:ptCount val="2"/>
                <c:pt idx="0">
                  <c:v>7671.50568</c:v>
                </c:pt>
                <c:pt idx="1">
                  <c:v>7671.50568</c:v>
                </c:pt>
              </c:numCache>
            </c:numRef>
          </c:val>
        </c:ser>
        <c:gapWidth val="45"/>
        <c:overlap val="100"/>
        <c:axId val="50010001"/>
        <c:axId val="50010002"/>
      </c:barChart>
      <c:catAx>
        <c:axId val="50010001"/>
        <c:scaling>
          <c:orientation val="minMax"/>
        </c:scaling>
        <c:axPos val="l"/>
        <c:majorTickMark val="none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1" baseline="0">
                <a:solidFill>
                  <a:srgbClr val="1F2933"/>
                </a:solidFill>
                <a:latin typeface="Verdana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b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'Upstream'!$B$70</c:f>
              <c:strCache>
                <c:ptCount val="1"/>
                <c:pt idx="0">
                  <c:v>Energy per 40,000 m3 cargo, MWh</c:v>
                </c:pt>
              </c:strCache>
            </c:strRef>
          </c:tx>
          <c:layout/>
          <c:txPr>
            <a:bodyPr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</c:spPr>
    </c:plotArea>
    <c:legend>
      <c:legendPos val="b"/>
      <c:legendEntry>
        <c:idx val="4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'Upstream'!$B$69</c:f>
          <c:strCache>
            <c:ptCount val="1"/>
            <c:pt idx="0">
              <c:v>A liquefier would need 1.70 kWh/kg to match Haber-Bosch — below the 3.9 kWh/kg thermodynamic minimum, so it is unreachable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LH₂ route: liquefaction + tank reliq (+ electrolysis)</c:v>
          </c:tx>
          <c:spPr>
            <a:ln w="31750">
              <a:solidFill>
                <a:srgbClr val="60269E"/>
              </a:solidFill>
            </a:ln>
          </c:spPr>
          <c:marker>
            <c:symbol val="none"/>
          </c:marker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Upstream!$C$103:$C$303</c:f>
              <c:numCache>
                <c:formatCode>General</c:formatCode>
                <c:ptCount val="201"/>
                <c:pt idx="0">
                  <c:v>83.6856</c:v>
                </c:pt>
                <c:pt idx="1">
                  <c:v>225.2856</c:v>
                </c:pt>
                <c:pt idx="2">
                  <c:v>366.8856</c:v>
                </c:pt>
                <c:pt idx="3">
                  <c:v>508.4856</c:v>
                </c:pt>
                <c:pt idx="4">
                  <c:v>650.0856</c:v>
                </c:pt>
                <c:pt idx="5">
                  <c:v>791.6856</c:v>
                </c:pt>
                <c:pt idx="6">
                  <c:v>933.2856</c:v>
                </c:pt>
                <c:pt idx="7">
                  <c:v>1074.8856</c:v>
                </c:pt>
                <c:pt idx="8">
                  <c:v>1216.4856</c:v>
                </c:pt>
                <c:pt idx="9">
                  <c:v>1358.0856</c:v>
                </c:pt>
                <c:pt idx="10">
                  <c:v>1499.6856</c:v>
                </c:pt>
                <c:pt idx="11">
                  <c:v>1641.2856</c:v>
                </c:pt>
                <c:pt idx="12">
                  <c:v>1782.8856</c:v>
                </c:pt>
                <c:pt idx="13">
                  <c:v>1924.4856</c:v>
                </c:pt>
                <c:pt idx="14">
                  <c:v>2066.0856</c:v>
                </c:pt>
                <c:pt idx="15">
                  <c:v>2207.6856</c:v>
                </c:pt>
                <c:pt idx="16">
                  <c:v>2349.2856</c:v>
                </c:pt>
                <c:pt idx="17">
                  <c:v>2490.8856</c:v>
                </c:pt>
                <c:pt idx="18">
                  <c:v>2632.4856</c:v>
                </c:pt>
                <c:pt idx="19">
                  <c:v>2774.0856</c:v>
                </c:pt>
                <c:pt idx="20">
                  <c:v>2915.6856</c:v>
                </c:pt>
                <c:pt idx="21">
                  <c:v>3057.2856</c:v>
                </c:pt>
                <c:pt idx="22">
                  <c:v>3198.8856</c:v>
                </c:pt>
                <c:pt idx="23">
                  <c:v>3340.4856</c:v>
                </c:pt>
                <c:pt idx="24">
                  <c:v>3482.0856</c:v>
                </c:pt>
                <c:pt idx="25">
                  <c:v>3623.6856</c:v>
                </c:pt>
                <c:pt idx="26">
                  <c:v>3765.2856</c:v>
                </c:pt>
                <c:pt idx="27">
                  <c:v>3906.8856</c:v>
                </c:pt>
                <c:pt idx="28">
                  <c:v>4048.4856</c:v>
                </c:pt>
                <c:pt idx="29">
                  <c:v>4190.0856</c:v>
                </c:pt>
                <c:pt idx="30">
                  <c:v>4331.6856</c:v>
                </c:pt>
                <c:pt idx="31">
                  <c:v>4473.2856</c:v>
                </c:pt>
                <c:pt idx="32">
                  <c:v>4614.8856</c:v>
                </c:pt>
                <c:pt idx="33">
                  <c:v>4756.4856</c:v>
                </c:pt>
                <c:pt idx="34">
                  <c:v>4898.0856</c:v>
                </c:pt>
                <c:pt idx="35">
                  <c:v>5039.6856</c:v>
                </c:pt>
                <c:pt idx="36">
                  <c:v>5181.2856</c:v>
                </c:pt>
                <c:pt idx="37">
                  <c:v>5322.8856</c:v>
                </c:pt>
                <c:pt idx="38">
                  <c:v>5464.4856</c:v>
                </c:pt>
                <c:pt idx="39">
                  <c:v>5606.0856</c:v>
                </c:pt>
                <c:pt idx="40">
                  <c:v>5747.6856</c:v>
                </c:pt>
                <c:pt idx="41">
                  <c:v>5889.2856</c:v>
                </c:pt>
                <c:pt idx="42">
                  <c:v>6030.8856</c:v>
                </c:pt>
                <c:pt idx="43">
                  <c:v>6172.4856</c:v>
                </c:pt>
                <c:pt idx="44">
                  <c:v>6314.0856</c:v>
                </c:pt>
                <c:pt idx="45">
                  <c:v>6455.6856</c:v>
                </c:pt>
                <c:pt idx="46">
                  <c:v>6597.2856</c:v>
                </c:pt>
                <c:pt idx="47">
                  <c:v>6738.8856</c:v>
                </c:pt>
                <c:pt idx="48">
                  <c:v>6880.4856</c:v>
                </c:pt>
                <c:pt idx="49">
                  <c:v>7022.0856</c:v>
                </c:pt>
                <c:pt idx="50">
                  <c:v>7163.6856</c:v>
                </c:pt>
                <c:pt idx="51">
                  <c:v>7305.2856</c:v>
                </c:pt>
                <c:pt idx="52">
                  <c:v>7446.8856</c:v>
                </c:pt>
                <c:pt idx="53">
                  <c:v>7588.4856</c:v>
                </c:pt>
                <c:pt idx="54">
                  <c:v>7730.0856</c:v>
                </c:pt>
                <c:pt idx="55">
                  <c:v>7871.6856</c:v>
                </c:pt>
                <c:pt idx="56">
                  <c:v>8013.2856</c:v>
                </c:pt>
                <c:pt idx="57">
                  <c:v>8154.8856</c:v>
                </c:pt>
                <c:pt idx="58">
                  <c:v>8296.4856</c:v>
                </c:pt>
                <c:pt idx="59">
                  <c:v>8438.0856</c:v>
                </c:pt>
                <c:pt idx="60">
                  <c:v>8579.6856</c:v>
                </c:pt>
                <c:pt idx="61">
                  <c:v>8721.2856</c:v>
                </c:pt>
                <c:pt idx="62">
                  <c:v>8862.8856</c:v>
                </c:pt>
                <c:pt idx="63">
                  <c:v>9004.4856</c:v>
                </c:pt>
                <c:pt idx="64">
                  <c:v>9146.0856</c:v>
                </c:pt>
                <c:pt idx="65">
                  <c:v>9287.6856</c:v>
                </c:pt>
                <c:pt idx="66">
                  <c:v>9429.2856</c:v>
                </c:pt>
                <c:pt idx="67">
                  <c:v>9570.8856</c:v>
                </c:pt>
                <c:pt idx="68">
                  <c:v>9712.4856</c:v>
                </c:pt>
                <c:pt idx="69">
                  <c:v>9854.0856</c:v>
                </c:pt>
                <c:pt idx="70">
                  <c:v>9995.6856</c:v>
                </c:pt>
                <c:pt idx="71">
                  <c:v>10137.2856</c:v>
                </c:pt>
                <c:pt idx="72">
                  <c:v>10278.8856</c:v>
                </c:pt>
                <c:pt idx="73">
                  <c:v>10420.4856</c:v>
                </c:pt>
                <c:pt idx="74">
                  <c:v>10562.0856</c:v>
                </c:pt>
                <c:pt idx="75">
                  <c:v>10703.6856</c:v>
                </c:pt>
                <c:pt idx="76">
                  <c:v>10845.2856</c:v>
                </c:pt>
                <c:pt idx="77">
                  <c:v>10986.8856</c:v>
                </c:pt>
                <c:pt idx="78">
                  <c:v>11128.4856</c:v>
                </c:pt>
                <c:pt idx="79">
                  <c:v>11270.0856</c:v>
                </c:pt>
                <c:pt idx="80">
                  <c:v>11411.6856</c:v>
                </c:pt>
                <c:pt idx="81">
                  <c:v>11553.2856</c:v>
                </c:pt>
                <c:pt idx="82">
                  <c:v>11694.8856</c:v>
                </c:pt>
                <c:pt idx="83">
                  <c:v>11836.4856</c:v>
                </c:pt>
                <c:pt idx="84">
                  <c:v>11978.0856</c:v>
                </c:pt>
                <c:pt idx="85">
                  <c:v>12119.6856</c:v>
                </c:pt>
                <c:pt idx="86">
                  <c:v>12261.2856</c:v>
                </c:pt>
                <c:pt idx="87">
                  <c:v>12402.8856</c:v>
                </c:pt>
                <c:pt idx="88">
                  <c:v>12544.4856</c:v>
                </c:pt>
                <c:pt idx="89">
                  <c:v>12686.0856</c:v>
                </c:pt>
                <c:pt idx="90">
                  <c:v>12827.6856</c:v>
                </c:pt>
                <c:pt idx="91">
                  <c:v>12969.2856</c:v>
                </c:pt>
                <c:pt idx="92">
                  <c:v>13110.8856</c:v>
                </c:pt>
                <c:pt idx="93">
                  <c:v>13252.4856</c:v>
                </c:pt>
                <c:pt idx="94">
                  <c:v>13394.0856</c:v>
                </c:pt>
                <c:pt idx="95">
                  <c:v>13535.6856</c:v>
                </c:pt>
                <c:pt idx="96">
                  <c:v>13677.2856</c:v>
                </c:pt>
                <c:pt idx="97">
                  <c:v>13818.8856</c:v>
                </c:pt>
                <c:pt idx="98">
                  <c:v>13960.4856</c:v>
                </c:pt>
                <c:pt idx="99">
                  <c:v>14102.0856</c:v>
                </c:pt>
                <c:pt idx="100">
                  <c:v>14243.6856</c:v>
                </c:pt>
                <c:pt idx="101">
                  <c:v>14385.2856</c:v>
                </c:pt>
                <c:pt idx="102">
                  <c:v>14526.8856</c:v>
                </c:pt>
                <c:pt idx="103">
                  <c:v>14668.4856</c:v>
                </c:pt>
                <c:pt idx="104">
                  <c:v>14810.0856</c:v>
                </c:pt>
                <c:pt idx="105">
                  <c:v>14951.6856</c:v>
                </c:pt>
                <c:pt idx="106">
                  <c:v>15093.2856</c:v>
                </c:pt>
                <c:pt idx="107">
                  <c:v>15234.8856</c:v>
                </c:pt>
                <c:pt idx="108">
                  <c:v>15376.4856</c:v>
                </c:pt>
                <c:pt idx="109">
                  <c:v>15518.0856</c:v>
                </c:pt>
                <c:pt idx="110">
                  <c:v>15659.6856</c:v>
                </c:pt>
                <c:pt idx="111">
                  <c:v>15801.2856</c:v>
                </c:pt>
                <c:pt idx="112">
                  <c:v>15942.8856</c:v>
                </c:pt>
                <c:pt idx="113">
                  <c:v>16084.4856</c:v>
                </c:pt>
                <c:pt idx="114">
                  <c:v>16226.0856</c:v>
                </c:pt>
                <c:pt idx="115">
                  <c:v>16367.6856</c:v>
                </c:pt>
                <c:pt idx="116">
                  <c:v>16509.2856</c:v>
                </c:pt>
                <c:pt idx="117">
                  <c:v>16650.8856</c:v>
                </c:pt>
                <c:pt idx="118">
                  <c:v>16792.4856</c:v>
                </c:pt>
                <c:pt idx="119">
                  <c:v>16934.0856</c:v>
                </c:pt>
                <c:pt idx="120">
                  <c:v>17075.6856</c:v>
                </c:pt>
                <c:pt idx="121">
                  <c:v>17217.2856</c:v>
                </c:pt>
                <c:pt idx="122">
                  <c:v>17358.8856</c:v>
                </c:pt>
                <c:pt idx="123">
                  <c:v>17500.4856</c:v>
                </c:pt>
                <c:pt idx="124">
                  <c:v>17642.0856</c:v>
                </c:pt>
                <c:pt idx="125">
                  <c:v>17783.6856</c:v>
                </c:pt>
                <c:pt idx="126">
                  <c:v>17925.2856</c:v>
                </c:pt>
                <c:pt idx="127">
                  <c:v>18066.8856</c:v>
                </c:pt>
                <c:pt idx="128">
                  <c:v>18208.4856</c:v>
                </c:pt>
                <c:pt idx="129">
                  <c:v>18350.0856</c:v>
                </c:pt>
                <c:pt idx="130">
                  <c:v>18491.6856</c:v>
                </c:pt>
                <c:pt idx="131">
                  <c:v>18633.2856</c:v>
                </c:pt>
                <c:pt idx="132">
                  <c:v>18774.8856</c:v>
                </c:pt>
                <c:pt idx="133">
                  <c:v>18916.4856</c:v>
                </c:pt>
                <c:pt idx="134">
                  <c:v>19058.0856</c:v>
                </c:pt>
                <c:pt idx="135">
                  <c:v>19199.6856</c:v>
                </c:pt>
                <c:pt idx="136">
                  <c:v>19341.2856</c:v>
                </c:pt>
                <c:pt idx="137">
                  <c:v>19482.8856</c:v>
                </c:pt>
                <c:pt idx="138">
                  <c:v>19624.4856</c:v>
                </c:pt>
                <c:pt idx="139">
                  <c:v>19766.0856</c:v>
                </c:pt>
                <c:pt idx="140">
                  <c:v>19907.6856</c:v>
                </c:pt>
                <c:pt idx="141">
                  <c:v>20049.2856</c:v>
                </c:pt>
                <c:pt idx="142">
                  <c:v>20190.8856</c:v>
                </c:pt>
                <c:pt idx="143">
                  <c:v>20332.4856</c:v>
                </c:pt>
                <c:pt idx="144">
                  <c:v>20474.0856</c:v>
                </c:pt>
                <c:pt idx="145">
                  <c:v>20615.6856</c:v>
                </c:pt>
                <c:pt idx="146">
                  <c:v>20757.2856</c:v>
                </c:pt>
                <c:pt idx="147">
                  <c:v>20898.8856</c:v>
                </c:pt>
                <c:pt idx="148">
                  <c:v>21040.4856</c:v>
                </c:pt>
                <c:pt idx="149">
                  <c:v>21182.0856</c:v>
                </c:pt>
                <c:pt idx="150">
                  <c:v>21323.6856</c:v>
                </c:pt>
                <c:pt idx="151">
                  <c:v>21465.2856</c:v>
                </c:pt>
                <c:pt idx="152">
                  <c:v>21606.8856</c:v>
                </c:pt>
                <c:pt idx="153">
                  <c:v>21748.4856</c:v>
                </c:pt>
                <c:pt idx="154">
                  <c:v>21890.0856</c:v>
                </c:pt>
                <c:pt idx="155">
                  <c:v>22031.6856</c:v>
                </c:pt>
                <c:pt idx="156">
                  <c:v>22173.2856</c:v>
                </c:pt>
                <c:pt idx="157">
                  <c:v>22314.8856</c:v>
                </c:pt>
                <c:pt idx="158">
                  <c:v>22456.4856</c:v>
                </c:pt>
                <c:pt idx="159">
                  <c:v>22598.0856</c:v>
                </c:pt>
                <c:pt idx="160">
                  <c:v>22739.6856</c:v>
                </c:pt>
                <c:pt idx="161">
                  <c:v>22881.2856</c:v>
                </c:pt>
                <c:pt idx="162">
                  <c:v>23022.8856</c:v>
                </c:pt>
                <c:pt idx="163">
                  <c:v>23164.4856</c:v>
                </c:pt>
                <c:pt idx="164">
                  <c:v>23306.0856</c:v>
                </c:pt>
                <c:pt idx="165">
                  <c:v>23447.6856</c:v>
                </c:pt>
                <c:pt idx="166">
                  <c:v>23589.2856</c:v>
                </c:pt>
                <c:pt idx="167">
                  <c:v>23730.8856</c:v>
                </c:pt>
                <c:pt idx="168">
                  <c:v>23872.4856</c:v>
                </c:pt>
                <c:pt idx="169">
                  <c:v>24014.0856</c:v>
                </c:pt>
                <c:pt idx="170">
                  <c:v>24155.6856</c:v>
                </c:pt>
                <c:pt idx="171">
                  <c:v>24297.2856</c:v>
                </c:pt>
                <c:pt idx="172">
                  <c:v>24438.8856</c:v>
                </c:pt>
                <c:pt idx="173">
                  <c:v>24580.4856</c:v>
                </c:pt>
                <c:pt idx="174">
                  <c:v>24722.0856</c:v>
                </c:pt>
                <c:pt idx="175">
                  <c:v>24863.6856</c:v>
                </c:pt>
                <c:pt idx="176">
                  <c:v>25005.2856</c:v>
                </c:pt>
                <c:pt idx="177">
                  <c:v>25146.8856</c:v>
                </c:pt>
                <c:pt idx="178">
                  <c:v>25288.4856</c:v>
                </c:pt>
                <c:pt idx="179">
                  <c:v>25430.0856</c:v>
                </c:pt>
                <c:pt idx="180">
                  <c:v>25571.6856</c:v>
                </c:pt>
                <c:pt idx="181">
                  <c:v>25713.2856</c:v>
                </c:pt>
                <c:pt idx="182">
                  <c:v>25854.8856</c:v>
                </c:pt>
                <c:pt idx="183">
                  <c:v>25996.4856</c:v>
                </c:pt>
                <c:pt idx="184">
                  <c:v>26138.0856</c:v>
                </c:pt>
                <c:pt idx="185">
                  <c:v>26279.6856</c:v>
                </c:pt>
                <c:pt idx="186">
                  <c:v>26421.2856</c:v>
                </c:pt>
                <c:pt idx="187">
                  <c:v>26562.8856</c:v>
                </c:pt>
                <c:pt idx="188">
                  <c:v>26704.4856</c:v>
                </c:pt>
                <c:pt idx="189">
                  <c:v>26846.0856</c:v>
                </c:pt>
                <c:pt idx="190">
                  <c:v>26987.6856</c:v>
                </c:pt>
                <c:pt idx="191">
                  <c:v>27129.2856</c:v>
                </c:pt>
                <c:pt idx="192">
                  <c:v>27270.8856</c:v>
                </c:pt>
                <c:pt idx="193">
                  <c:v>27412.4856</c:v>
                </c:pt>
                <c:pt idx="194">
                  <c:v>27554.0856</c:v>
                </c:pt>
                <c:pt idx="195">
                  <c:v>27695.6856</c:v>
                </c:pt>
                <c:pt idx="196">
                  <c:v>27837.2856</c:v>
                </c:pt>
                <c:pt idx="197">
                  <c:v>27978.8856</c:v>
                </c:pt>
                <c:pt idx="198">
                  <c:v>28120.4856</c:v>
                </c:pt>
                <c:pt idx="199">
                  <c:v>28262.0856</c:v>
                </c:pt>
                <c:pt idx="200">
                  <c:v>28403.6856</c:v>
                </c:pt>
              </c:numCache>
            </c:numRef>
          </c:val>
        </c:ser>
        <c:ser>
          <c:idx val="1"/>
          <c:order val="1"/>
          <c:tx>
            <c:v>NH₃ route: Haber-Bosch + tank reliq (+ electrolysis)</c:v>
          </c:tx>
          <c:spPr>
            <a:ln w="31750">
              <a:solidFill>
                <a:srgbClr val="00C8E8"/>
              </a:solidFill>
            </a:ln>
          </c:spPr>
          <c:marker>
            <c:symbol val="none"/>
          </c:marker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Upstream!$D$103:$D$303</c:f>
              <c:numCache>
                <c:formatCode>General</c:formatCode>
                <c:ptCount val="201"/>
                <c:pt idx="0">
                  <c:v>4897.00357142857</c:v>
                </c:pt>
                <c:pt idx="1">
                  <c:v>4897.00357142857</c:v>
                </c:pt>
                <c:pt idx="2">
                  <c:v>4897.00357142857</c:v>
                </c:pt>
                <c:pt idx="3">
                  <c:v>4897.00357142857</c:v>
                </c:pt>
                <c:pt idx="4">
                  <c:v>4897.00357142857</c:v>
                </c:pt>
                <c:pt idx="5">
                  <c:v>4897.00357142857</c:v>
                </c:pt>
                <c:pt idx="6">
                  <c:v>4897.00357142857</c:v>
                </c:pt>
                <c:pt idx="7">
                  <c:v>4897.00357142857</c:v>
                </c:pt>
                <c:pt idx="8">
                  <c:v>4897.00357142857</c:v>
                </c:pt>
                <c:pt idx="9">
                  <c:v>4897.00357142857</c:v>
                </c:pt>
                <c:pt idx="10">
                  <c:v>4897.00357142857</c:v>
                </c:pt>
                <c:pt idx="11">
                  <c:v>4897.00357142857</c:v>
                </c:pt>
                <c:pt idx="12">
                  <c:v>4897.00357142857</c:v>
                </c:pt>
                <c:pt idx="13">
                  <c:v>4897.00357142857</c:v>
                </c:pt>
                <c:pt idx="14">
                  <c:v>4897.00357142857</c:v>
                </c:pt>
                <c:pt idx="15">
                  <c:v>4897.00357142857</c:v>
                </c:pt>
                <c:pt idx="16">
                  <c:v>4897.00357142857</c:v>
                </c:pt>
                <c:pt idx="17">
                  <c:v>4897.00357142857</c:v>
                </c:pt>
                <c:pt idx="18">
                  <c:v>4897.00357142857</c:v>
                </c:pt>
                <c:pt idx="19">
                  <c:v>4897.00357142857</c:v>
                </c:pt>
                <c:pt idx="20">
                  <c:v>4897.00357142857</c:v>
                </c:pt>
                <c:pt idx="21">
                  <c:v>4897.00357142857</c:v>
                </c:pt>
                <c:pt idx="22">
                  <c:v>4897.00357142857</c:v>
                </c:pt>
                <c:pt idx="23">
                  <c:v>4897.00357142857</c:v>
                </c:pt>
                <c:pt idx="24">
                  <c:v>4897.00357142857</c:v>
                </c:pt>
                <c:pt idx="25">
                  <c:v>4897.00357142857</c:v>
                </c:pt>
                <c:pt idx="26">
                  <c:v>4897.00357142857</c:v>
                </c:pt>
                <c:pt idx="27">
                  <c:v>4897.00357142857</c:v>
                </c:pt>
                <c:pt idx="28">
                  <c:v>4897.00357142857</c:v>
                </c:pt>
                <c:pt idx="29">
                  <c:v>4897.00357142857</c:v>
                </c:pt>
                <c:pt idx="30">
                  <c:v>4897.00357142857</c:v>
                </c:pt>
                <c:pt idx="31">
                  <c:v>4897.00357142857</c:v>
                </c:pt>
                <c:pt idx="32">
                  <c:v>4897.00357142857</c:v>
                </c:pt>
                <c:pt idx="33">
                  <c:v>4897.00357142857</c:v>
                </c:pt>
                <c:pt idx="34">
                  <c:v>4897.00357142857</c:v>
                </c:pt>
                <c:pt idx="35">
                  <c:v>4897.00357142857</c:v>
                </c:pt>
                <c:pt idx="36">
                  <c:v>4897.00357142857</c:v>
                </c:pt>
                <c:pt idx="37">
                  <c:v>4897.00357142857</c:v>
                </c:pt>
                <c:pt idx="38">
                  <c:v>4897.00357142857</c:v>
                </c:pt>
                <c:pt idx="39">
                  <c:v>4897.00357142857</c:v>
                </c:pt>
                <c:pt idx="40">
                  <c:v>4897.00357142857</c:v>
                </c:pt>
                <c:pt idx="41">
                  <c:v>4897.00357142857</c:v>
                </c:pt>
                <c:pt idx="42">
                  <c:v>4897.00357142857</c:v>
                </c:pt>
                <c:pt idx="43">
                  <c:v>4897.00357142857</c:v>
                </c:pt>
                <c:pt idx="44">
                  <c:v>4897.00357142857</c:v>
                </c:pt>
                <c:pt idx="45">
                  <c:v>4897.00357142857</c:v>
                </c:pt>
                <c:pt idx="46">
                  <c:v>4897.00357142857</c:v>
                </c:pt>
                <c:pt idx="47">
                  <c:v>4897.00357142857</c:v>
                </c:pt>
                <c:pt idx="48">
                  <c:v>4897.00357142857</c:v>
                </c:pt>
                <c:pt idx="49">
                  <c:v>4897.00357142857</c:v>
                </c:pt>
                <c:pt idx="50">
                  <c:v>4897.00357142857</c:v>
                </c:pt>
                <c:pt idx="51">
                  <c:v>4897.00357142857</c:v>
                </c:pt>
                <c:pt idx="52">
                  <c:v>4897.00357142857</c:v>
                </c:pt>
                <c:pt idx="53">
                  <c:v>4897.00357142857</c:v>
                </c:pt>
                <c:pt idx="54">
                  <c:v>4897.00357142857</c:v>
                </c:pt>
                <c:pt idx="55">
                  <c:v>4897.00357142857</c:v>
                </c:pt>
                <c:pt idx="56">
                  <c:v>4897.00357142857</c:v>
                </c:pt>
                <c:pt idx="57">
                  <c:v>4897.00357142857</c:v>
                </c:pt>
                <c:pt idx="58">
                  <c:v>4897.00357142857</c:v>
                </c:pt>
                <c:pt idx="59">
                  <c:v>4897.00357142857</c:v>
                </c:pt>
                <c:pt idx="60">
                  <c:v>4897.00357142857</c:v>
                </c:pt>
                <c:pt idx="61">
                  <c:v>4897.00357142857</c:v>
                </c:pt>
                <c:pt idx="62">
                  <c:v>4897.00357142857</c:v>
                </c:pt>
                <c:pt idx="63">
                  <c:v>4897.00357142857</c:v>
                </c:pt>
                <c:pt idx="64">
                  <c:v>4897.00357142857</c:v>
                </c:pt>
                <c:pt idx="65">
                  <c:v>4897.00357142857</c:v>
                </c:pt>
                <c:pt idx="66">
                  <c:v>4897.00357142857</c:v>
                </c:pt>
                <c:pt idx="67">
                  <c:v>4897.00357142857</c:v>
                </c:pt>
                <c:pt idx="68">
                  <c:v>4897.00357142857</c:v>
                </c:pt>
                <c:pt idx="69">
                  <c:v>4897.00357142857</c:v>
                </c:pt>
                <c:pt idx="70">
                  <c:v>4897.00357142857</c:v>
                </c:pt>
                <c:pt idx="71">
                  <c:v>4897.00357142857</c:v>
                </c:pt>
                <c:pt idx="72">
                  <c:v>4897.00357142857</c:v>
                </c:pt>
                <c:pt idx="73">
                  <c:v>4897.00357142857</c:v>
                </c:pt>
                <c:pt idx="74">
                  <c:v>4897.00357142857</c:v>
                </c:pt>
                <c:pt idx="75">
                  <c:v>4897.00357142857</c:v>
                </c:pt>
                <c:pt idx="76">
                  <c:v>4897.00357142857</c:v>
                </c:pt>
                <c:pt idx="77">
                  <c:v>4897.00357142857</c:v>
                </c:pt>
                <c:pt idx="78">
                  <c:v>4897.00357142857</c:v>
                </c:pt>
                <c:pt idx="79">
                  <c:v>4897.00357142857</c:v>
                </c:pt>
                <c:pt idx="80">
                  <c:v>4897.00357142857</c:v>
                </c:pt>
                <c:pt idx="81">
                  <c:v>4897.00357142857</c:v>
                </c:pt>
                <c:pt idx="82">
                  <c:v>4897.00357142857</c:v>
                </c:pt>
                <c:pt idx="83">
                  <c:v>4897.00357142857</c:v>
                </c:pt>
                <c:pt idx="84">
                  <c:v>4897.00357142857</c:v>
                </c:pt>
                <c:pt idx="85">
                  <c:v>4897.00357142857</c:v>
                </c:pt>
                <c:pt idx="86">
                  <c:v>4897.00357142857</c:v>
                </c:pt>
                <c:pt idx="87">
                  <c:v>4897.00357142857</c:v>
                </c:pt>
                <c:pt idx="88">
                  <c:v>4897.00357142857</c:v>
                </c:pt>
                <c:pt idx="89">
                  <c:v>4897.00357142857</c:v>
                </c:pt>
                <c:pt idx="90">
                  <c:v>4897.00357142857</c:v>
                </c:pt>
                <c:pt idx="91">
                  <c:v>4897.00357142857</c:v>
                </c:pt>
                <c:pt idx="92">
                  <c:v>4897.00357142857</c:v>
                </c:pt>
                <c:pt idx="93">
                  <c:v>4897.00357142857</c:v>
                </c:pt>
                <c:pt idx="94">
                  <c:v>4897.00357142857</c:v>
                </c:pt>
                <c:pt idx="95">
                  <c:v>4897.00357142857</c:v>
                </c:pt>
                <c:pt idx="96">
                  <c:v>4897.00357142857</c:v>
                </c:pt>
                <c:pt idx="97">
                  <c:v>4897.00357142857</c:v>
                </c:pt>
                <c:pt idx="98">
                  <c:v>4897.00357142857</c:v>
                </c:pt>
                <c:pt idx="99">
                  <c:v>4897.00357142857</c:v>
                </c:pt>
                <c:pt idx="100">
                  <c:v>4897.00357142857</c:v>
                </c:pt>
                <c:pt idx="101">
                  <c:v>4897.00357142857</c:v>
                </c:pt>
                <c:pt idx="102">
                  <c:v>4897.00357142857</c:v>
                </c:pt>
                <c:pt idx="103">
                  <c:v>4897.00357142857</c:v>
                </c:pt>
                <c:pt idx="104">
                  <c:v>4897.00357142857</c:v>
                </c:pt>
                <c:pt idx="105">
                  <c:v>4897.00357142857</c:v>
                </c:pt>
                <c:pt idx="106">
                  <c:v>4897.00357142857</c:v>
                </c:pt>
                <c:pt idx="107">
                  <c:v>4897.00357142857</c:v>
                </c:pt>
                <c:pt idx="108">
                  <c:v>4897.00357142857</c:v>
                </c:pt>
                <c:pt idx="109">
                  <c:v>4897.00357142857</c:v>
                </c:pt>
                <c:pt idx="110">
                  <c:v>4897.00357142857</c:v>
                </c:pt>
                <c:pt idx="111">
                  <c:v>4897.00357142857</c:v>
                </c:pt>
                <c:pt idx="112">
                  <c:v>4897.00357142857</c:v>
                </c:pt>
                <c:pt idx="113">
                  <c:v>4897.00357142857</c:v>
                </c:pt>
                <c:pt idx="114">
                  <c:v>4897.00357142857</c:v>
                </c:pt>
                <c:pt idx="115">
                  <c:v>4897.00357142857</c:v>
                </c:pt>
                <c:pt idx="116">
                  <c:v>4897.00357142857</c:v>
                </c:pt>
                <c:pt idx="117">
                  <c:v>4897.00357142857</c:v>
                </c:pt>
                <c:pt idx="118">
                  <c:v>4897.00357142857</c:v>
                </c:pt>
                <c:pt idx="119">
                  <c:v>4897.00357142857</c:v>
                </c:pt>
                <c:pt idx="120">
                  <c:v>4897.00357142857</c:v>
                </c:pt>
                <c:pt idx="121">
                  <c:v>4897.00357142857</c:v>
                </c:pt>
                <c:pt idx="122">
                  <c:v>4897.00357142857</c:v>
                </c:pt>
                <c:pt idx="123">
                  <c:v>4897.00357142857</c:v>
                </c:pt>
                <c:pt idx="124">
                  <c:v>4897.00357142857</c:v>
                </c:pt>
                <c:pt idx="125">
                  <c:v>4897.00357142857</c:v>
                </c:pt>
                <c:pt idx="126">
                  <c:v>4897.00357142857</c:v>
                </c:pt>
                <c:pt idx="127">
                  <c:v>4897.00357142857</c:v>
                </c:pt>
                <c:pt idx="128">
                  <c:v>4897.00357142857</c:v>
                </c:pt>
                <c:pt idx="129">
                  <c:v>4897.00357142857</c:v>
                </c:pt>
                <c:pt idx="130">
                  <c:v>4897.00357142857</c:v>
                </c:pt>
                <c:pt idx="131">
                  <c:v>4897.00357142857</c:v>
                </c:pt>
                <c:pt idx="132">
                  <c:v>4897.00357142857</c:v>
                </c:pt>
                <c:pt idx="133">
                  <c:v>4897.00357142857</c:v>
                </c:pt>
                <c:pt idx="134">
                  <c:v>4897.00357142857</c:v>
                </c:pt>
                <c:pt idx="135">
                  <c:v>4897.00357142857</c:v>
                </c:pt>
                <c:pt idx="136">
                  <c:v>4897.00357142857</c:v>
                </c:pt>
                <c:pt idx="137">
                  <c:v>4897.00357142857</c:v>
                </c:pt>
                <c:pt idx="138">
                  <c:v>4897.00357142857</c:v>
                </c:pt>
                <c:pt idx="139">
                  <c:v>4897.00357142857</c:v>
                </c:pt>
                <c:pt idx="140">
                  <c:v>4897.00357142857</c:v>
                </c:pt>
                <c:pt idx="141">
                  <c:v>4897.00357142857</c:v>
                </c:pt>
                <c:pt idx="142">
                  <c:v>4897.00357142857</c:v>
                </c:pt>
                <c:pt idx="143">
                  <c:v>4897.00357142857</c:v>
                </c:pt>
                <c:pt idx="144">
                  <c:v>4897.00357142857</c:v>
                </c:pt>
                <c:pt idx="145">
                  <c:v>4897.00357142857</c:v>
                </c:pt>
                <c:pt idx="146">
                  <c:v>4897.00357142857</c:v>
                </c:pt>
                <c:pt idx="147">
                  <c:v>4897.00357142857</c:v>
                </c:pt>
                <c:pt idx="148">
                  <c:v>4897.00357142857</c:v>
                </c:pt>
                <c:pt idx="149">
                  <c:v>4897.00357142857</c:v>
                </c:pt>
                <c:pt idx="150">
                  <c:v>4897.00357142857</c:v>
                </c:pt>
                <c:pt idx="151">
                  <c:v>4897.00357142857</c:v>
                </c:pt>
                <c:pt idx="152">
                  <c:v>4897.00357142857</c:v>
                </c:pt>
                <c:pt idx="153">
                  <c:v>4897.00357142857</c:v>
                </c:pt>
                <c:pt idx="154">
                  <c:v>4897.00357142857</c:v>
                </c:pt>
                <c:pt idx="155">
                  <c:v>4897.00357142857</c:v>
                </c:pt>
                <c:pt idx="156">
                  <c:v>4897.00357142857</c:v>
                </c:pt>
                <c:pt idx="157">
                  <c:v>4897.00357142857</c:v>
                </c:pt>
                <c:pt idx="158">
                  <c:v>4897.00357142857</c:v>
                </c:pt>
                <c:pt idx="159">
                  <c:v>4897.00357142857</c:v>
                </c:pt>
                <c:pt idx="160">
                  <c:v>4897.00357142857</c:v>
                </c:pt>
                <c:pt idx="161">
                  <c:v>4897.00357142857</c:v>
                </c:pt>
                <c:pt idx="162">
                  <c:v>4897.00357142857</c:v>
                </c:pt>
                <c:pt idx="163">
                  <c:v>4897.00357142857</c:v>
                </c:pt>
                <c:pt idx="164">
                  <c:v>4897.00357142857</c:v>
                </c:pt>
                <c:pt idx="165">
                  <c:v>4897.00357142857</c:v>
                </c:pt>
                <c:pt idx="166">
                  <c:v>4897.00357142857</c:v>
                </c:pt>
                <c:pt idx="167">
                  <c:v>4897.00357142857</c:v>
                </c:pt>
                <c:pt idx="168">
                  <c:v>4897.00357142857</c:v>
                </c:pt>
                <c:pt idx="169">
                  <c:v>4897.00357142857</c:v>
                </c:pt>
                <c:pt idx="170">
                  <c:v>4897.00357142857</c:v>
                </c:pt>
                <c:pt idx="171">
                  <c:v>4897.00357142857</c:v>
                </c:pt>
                <c:pt idx="172">
                  <c:v>4897.00357142857</c:v>
                </c:pt>
                <c:pt idx="173">
                  <c:v>4897.00357142857</c:v>
                </c:pt>
                <c:pt idx="174">
                  <c:v>4897.00357142857</c:v>
                </c:pt>
                <c:pt idx="175">
                  <c:v>4897.00357142857</c:v>
                </c:pt>
                <c:pt idx="176">
                  <c:v>4897.00357142857</c:v>
                </c:pt>
                <c:pt idx="177">
                  <c:v>4897.00357142857</c:v>
                </c:pt>
                <c:pt idx="178">
                  <c:v>4897.00357142857</c:v>
                </c:pt>
                <c:pt idx="179">
                  <c:v>4897.00357142857</c:v>
                </c:pt>
                <c:pt idx="180">
                  <c:v>4897.00357142857</c:v>
                </c:pt>
                <c:pt idx="181">
                  <c:v>4897.00357142857</c:v>
                </c:pt>
                <c:pt idx="182">
                  <c:v>4897.00357142857</c:v>
                </c:pt>
                <c:pt idx="183">
                  <c:v>4897.00357142857</c:v>
                </c:pt>
                <c:pt idx="184">
                  <c:v>4897.00357142857</c:v>
                </c:pt>
                <c:pt idx="185">
                  <c:v>4897.00357142857</c:v>
                </c:pt>
                <c:pt idx="186">
                  <c:v>4897.00357142857</c:v>
                </c:pt>
                <c:pt idx="187">
                  <c:v>4897.00357142857</c:v>
                </c:pt>
                <c:pt idx="188">
                  <c:v>4897.00357142857</c:v>
                </c:pt>
                <c:pt idx="189">
                  <c:v>4897.00357142857</c:v>
                </c:pt>
                <c:pt idx="190">
                  <c:v>4897.00357142857</c:v>
                </c:pt>
                <c:pt idx="191">
                  <c:v>4897.00357142857</c:v>
                </c:pt>
                <c:pt idx="192">
                  <c:v>4897.00357142857</c:v>
                </c:pt>
                <c:pt idx="193">
                  <c:v>4897.00357142857</c:v>
                </c:pt>
                <c:pt idx="194">
                  <c:v>4897.00357142857</c:v>
                </c:pt>
                <c:pt idx="195">
                  <c:v>4897.00357142857</c:v>
                </c:pt>
                <c:pt idx="196">
                  <c:v>4897.00357142857</c:v>
                </c:pt>
                <c:pt idx="197">
                  <c:v>4897.00357142857</c:v>
                </c:pt>
                <c:pt idx="198">
                  <c:v>4897.00357142857</c:v>
                </c:pt>
                <c:pt idx="199">
                  <c:v>4897.00357142857</c:v>
                </c:pt>
                <c:pt idx="200">
                  <c:v>4897.00357142857</c:v>
                </c:pt>
              </c:numCache>
            </c:numRef>
          </c:val>
        </c:ser>
        <c:ser>
          <c:idx val="2"/>
          <c:order val="2"/>
          <c:tx>
            <c:strRef>
              <c:f>'Upstream'!$B$74</c:f>
              <c:strCache>
                <c:ptCount val="1"/>
                <c:pt idx="0">
                  <c:v>3.3 normal-H2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rgbClr val="F59F0A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l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F59F0A"/>
                </a:solidFill>
                <a:prstDash val="dash"/>
              </a:ln>
            </c:spPr>
          </c:errBars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Upstream!$G$103:$G$303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28403.6856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3"/>
          <c:order val="3"/>
          <c:tx>
            <c:strRef>
              <c:f>'Upstream'!$B$75</c:f>
              <c:strCache>
                <c:ptCount val="1"/>
                <c:pt idx="0">
                  <c:v>3.9 para-H2 minimum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rgbClr val="F59F0A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F59F0A"/>
                </a:solidFill>
                <a:prstDash val="dash"/>
              </a:ln>
            </c:spPr>
          </c:errBars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Upstream!$H$103:$H$303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28403.6856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4"/>
          <c:order val="4"/>
          <c:tx>
            <c:strRef>
              <c:f>'Upstream'!$B$72</c:f>
              <c:strCache>
                <c:ptCount val="1"/>
                <c:pt idx="0">
                  <c:v>Your input 9.0 kWh/kg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60269E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t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60269E"/>
                </a:solidFill>
                <a:prstDash val="sysDot"/>
              </a:ln>
            </c:spPr>
          </c:errBars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Upstream!$I$103:$I$303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25571.6856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5"/>
          <c:order val="5"/>
          <c:tx>
            <c:strRef>
              <c:f>'Upstream'!$B$73</c:f>
              <c:strCache>
                <c:ptCount val="1"/>
                <c:pt idx="0">
                  <c:v>Parity at 1.70 kWh/kg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1F2933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b"/>
            <c:showSerName val="1"/>
          </c:dLbls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Upstream!$J$103:$J$303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4897.00357142857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marker val="1"/>
        <c:axId val="50020001"/>
        <c:axId val="50020002"/>
      </c:lineChart>
      <c:areaChart>
        <c:grouping val="standard"/>
        <c:ser>
          <c:idx val="6"/>
          <c:order val="6"/>
          <c:tx>
            <c:v>Below minimum liquefaction work (unreachable)</c:v>
          </c:tx>
          <c:spPr>
            <a:solidFill>
              <a:srgbClr val="F59F0A">
                <a:alpha val="20000"/>
              </a:srgbClr>
            </a:solidFill>
            <a:ln>
              <a:noFill/>
            </a:ln>
          </c:spPr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Upstream!$E$103:$E$303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7"/>
          <c:order val="7"/>
          <c:tx>
            <c:v>KHI disclosed 8–9 kWh/kg</c:v>
          </c:tx>
          <c:spPr>
            <a:solidFill>
              <a:srgbClr val="60269E">
                <a:alpha val="20000"/>
              </a:srgbClr>
            </a:solidFill>
            <a:ln>
              <a:noFill/>
            </a:ln>
          </c:spPr>
          <c:cat>
            <c:strRef>
              <c:f>Upstream!$K$103:$K$303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Upstream!$F$103:$F$303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axId val="60020001"/>
        <c:axId val="60020002"/>
      </c:area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Liquefaction SEC, kWh per kg H₂</a:t>
                </a:r>
              </a:p>
            </c:rich>
          </c:tx>
          <c:layout/>
        </c:title>
        <c:numFmt formatCode="0" sourceLinked="0"/>
        <c:majorTickMark val="out"/>
        <c:tickLblPos val="low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  <c:tickMarkSkip val="2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'Upstream'!$B$71</c:f>
              <c:strCache>
                <c:ptCount val="1"/>
                <c:pt idx="0">
                  <c:v>Upstream energy, MWh per cargo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1"/>
          <c:min val="0"/>
        </c:scaling>
        <c:axPos val="r"/>
        <c:numFmt formatCode="General" sourceLinked="1"/>
        <c:majorTickMark val="none"/>
        <c:tickLblPos val="none"/>
        <c:spPr>
          <a:ln>
            <a:noFill/>
          </a:ln>
        </c:spPr>
        <c:crossAx val="60020001"/>
        <c:crosses val="max"/>
        <c:crossBetween val="midCat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  <c:spPr>
        <a:noFill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'Midstream'!$B$65</c:f>
          <c:strCache>
            <c:ptCount val="1"/>
            <c:pt idx="0">
              <c:v>Boil-off covers the full fuel demand above 0.471 %/day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areaChart>
        <c:grouping val="stacked"/>
        <c:ser>
          <c:idx val="0"/>
          <c:order val="0"/>
          <c:tx>
            <c:v>base</c:v>
          </c:tx>
          <c:spPr>
            <a:noFill/>
            <a:ln>
              <a:noFill/>
            </a:ln>
          </c:spPr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Midstream!$D$97:$D$217</c:f>
              <c:numCache>
                <c:formatCode>General</c:formatCode>
                <c:ptCount val="121"/>
                <c:pt idx="0">
                  <c:v>13325</c:v>
                </c:pt>
                <c:pt idx="1">
                  <c:v>13325</c:v>
                </c:pt>
                <c:pt idx="2">
                  <c:v>13325</c:v>
                </c:pt>
                <c:pt idx="3">
                  <c:v>13325</c:v>
                </c:pt>
                <c:pt idx="4">
                  <c:v>13325</c:v>
                </c:pt>
                <c:pt idx="5">
                  <c:v>13325</c:v>
                </c:pt>
                <c:pt idx="6">
                  <c:v>13325</c:v>
                </c:pt>
                <c:pt idx="7">
                  <c:v>13325</c:v>
                </c:pt>
                <c:pt idx="8">
                  <c:v>13325</c:v>
                </c:pt>
                <c:pt idx="9">
                  <c:v>13325</c:v>
                </c:pt>
                <c:pt idx="10">
                  <c:v>13325</c:v>
                </c:pt>
                <c:pt idx="11">
                  <c:v>13325</c:v>
                </c:pt>
                <c:pt idx="12">
                  <c:v>13325</c:v>
                </c:pt>
                <c:pt idx="13">
                  <c:v>13325</c:v>
                </c:pt>
                <c:pt idx="14">
                  <c:v>13325</c:v>
                </c:pt>
                <c:pt idx="15">
                  <c:v>13325</c:v>
                </c:pt>
                <c:pt idx="16">
                  <c:v>13325</c:v>
                </c:pt>
                <c:pt idx="17">
                  <c:v>13325</c:v>
                </c:pt>
                <c:pt idx="18">
                  <c:v>13325</c:v>
                </c:pt>
                <c:pt idx="19">
                  <c:v>13325</c:v>
                </c:pt>
                <c:pt idx="20">
                  <c:v>13325</c:v>
                </c:pt>
                <c:pt idx="21">
                  <c:v>13325</c:v>
                </c:pt>
                <c:pt idx="22">
                  <c:v>13325</c:v>
                </c:pt>
                <c:pt idx="23">
                  <c:v>13325</c:v>
                </c:pt>
                <c:pt idx="24">
                  <c:v>13325</c:v>
                </c:pt>
                <c:pt idx="25">
                  <c:v>13325</c:v>
                </c:pt>
                <c:pt idx="26">
                  <c:v>13325</c:v>
                </c:pt>
                <c:pt idx="27">
                  <c:v>13325</c:v>
                </c:pt>
                <c:pt idx="28">
                  <c:v>13325</c:v>
                </c:pt>
                <c:pt idx="29">
                  <c:v>13325</c:v>
                </c:pt>
                <c:pt idx="30">
                  <c:v>13325</c:v>
                </c:pt>
                <c:pt idx="31">
                  <c:v>13325</c:v>
                </c:pt>
                <c:pt idx="32">
                  <c:v>13325</c:v>
                </c:pt>
                <c:pt idx="33">
                  <c:v>13325</c:v>
                </c:pt>
                <c:pt idx="34">
                  <c:v>13325</c:v>
                </c:pt>
                <c:pt idx="35">
                  <c:v>13325</c:v>
                </c:pt>
                <c:pt idx="36">
                  <c:v>13325</c:v>
                </c:pt>
                <c:pt idx="37">
                  <c:v>13325</c:v>
                </c:pt>
                <c:pt idx="38">
                  <c:v>13325</c:v>
                </c:pt>
                <c:pt idx="39">
                  <c:v>13325</c:v>
                </c:pt>
                <c:pt idx="40">
                  <c:v>13325</c:v>
                </c:pt>
                <c:pt idx="41">
                  <c:v>13325</c:v>
                </c:pt>
                <c:pt idx="42">
                  <c:v>13325</c:v>
                </c:pt>
                <c:pt idx="43">
                  <c:v>13325</c:v>
                </c:pt>
                <c:pt idx="44">
                  <c:v>13325</c:v>
                </c:pt>
                <c:pt idx="45">
                  <c:v>13325</c:v>
                </c:pt>
                <c:pt idx="46">
                  <c:v>13325</c:v>
                </c:pt>
                <c:pt idx="47">
                  <c:v>13325</c:v>
                </c:pt>
                <c:pt idx="48">
                  <c:v>13325</c:v>
                </c:pt>
                <c:pt idx="49">
                  <c:v>13325</c:v>
                </c:pt>
                <c:pt idx="50">
                  <c:v>13325</c:v>
                </c:pt>
                <c:pt idx="51">
                  <c:v>13325</c:v>
                </c:pt>
                <c:pt idx="52">
                  <c:v>13325</c:v>
                </c:pt>
                <c:pt idx="53">
                  <c:v>13325</c:v>
                </c:pt>
                <c:pt idx="54">
                  <c:v>13325</c:v>
                </c:pt>
                <c:pt idx="55">
                  <c:v>13325</c:v>
                </c:pt>
                <c:pt idx="56">
                  <c:v>13325</c:v>
                </c:pt>
                <c:pt idx="57">
                  <c:v>13325</c:v>
                </c:pt>
                <c:pt idx="58">
                  <c:v>13325</c:v>
                </c:pt>
                <c:pt idx="59">
                  <c:v>13325</c:v>
                </c:pt>
                <c:pt idx="60">
                  <c:v>13325</c:v>
                </c:pt>
                <c:pt idx="61">
                  <c:v>13325</c:v>
                </c:pt>
                <c:pt idx="62">
                  <c:v>13325</c:v>
                </c:pt>
                <c:pt idx="63">
                  <c:v>13325</c:v>
                </c:pt>
                <c:pt idx="64">
                  <c:v>13325</c:v>
                </c:pt>
                <c:pt idx="65">
                  <c:v>13325</c:v>
                </c:pt>
                <c:pt idx="66">
                  <c:v>13325</c:v>
                </c:pt>
                <c:pt idx="67">
                  <c:v>13325</c:v>
                </c:pt>
                <c:pt idx="68">
                  <c:v>13325</c:v>
                </c:pt>
                <c:pt idx="69">
                  <c:v>13325</c:v>
                </c:pt>
                <c:pt idx="70">
                  <c:v>13325</c:v>
                </c:pt>
                <c:pt idx="71">
                  <c:v>13325</c:v>
                </c:pt>
                <c:pt idx="72">
                  <c:v>13325</c:v>
                </c:pt>
                <c:pt idx="73">
                  <c:v>13325</c:v>
                </c:pt>
                <c:pt idx="74">
                  <c:v>13325</c:v>
                </c:pt>
                <c:pt idx="75">
                  <c:v>13325</c:v>
                </c:pt>
                <c:pt idx="76">
                  <c:v>13325</c:v>
                </c:pt>
                <c:pt idx="77">
                  <c:v>13325</c:v>
                </c:pt>
                <c:pt idx="78">
                  <c:v>13325</c:v>
                </c:pt>
                <c:pt idx="79">
                  <c:v>13325</c:v>
                </c:pt>
                <c:pt idx="80">
                  <c:v>13325</c:v>
                </c:pt>
                <c:pt idx="81">
                  <c:v>13325</c:v>
                </c:pt>
                <c:pt idx="82">
                  <c:v>13325</c:v>
                </c:pt>
                <c:pt idx="83">
                  <c:v>13325</c:v>
                </c:pt>
                <c:pt idx="84">
                  <c:v>13325</c:v>
                </c:pt>
                <c:pt idx="85">
                  <c:v>13325</c:v>
                </c:pt>
                <c:pt idx="86">
                  <c:v>13325</c:v>
                </c:pt>
                <c:pt idx="87">
                  <c:v>13325</c:v>
                </c:pt>
                <c:pt idx="88">
                  <c:v>13325</c:v>
                </c:pt>
                <c:pt idx="89">
                  <c:v>13325</c:v>
                </c:pt>
                <c:pt idx="90">
                  <c:v>13325</c:v>
                </c:pt>
                <c:pt idx="91">
                  <c:v>13325</c:v>
                </c:pt>
                <c:pt idx="92">
                  <c:v>13325</c:v>
                </c:pt>
                <c:pt idx="93">
                  <c:v>13325</c:v>
                </c:pt>
                <c:pt idx="94">
                  <c:v>13325</c:v>
                </c:pt>
                <c:pt idx="95">
                  <c:v>13325</c:v>
                </c:pt>
                <c:pt idx="96">
                  <c:v>13325</c:v>
                </c:pt>
                <c:pt idx="97">
                  <c:v>13325</c:v>
                </c:pt>
                <c:pt idx="98">
                  <c:v>13325</c:v>
                </c:pt>
                <c:pt idx="99">
                  <c:v>13325</c:v>
                </c:pt>
                <c:pt idx="100">
                  <c:v>13325</c:v>
                </c:pt>
                <c:pt idx="101">
                  <c:v>13325</c:v>
                </c:pt>
                <c:pt idx="102">
                  <c:v>13325</c:v>
                </c:pt>
                <c:pt idx="103">
                  <c:v>13325</c:v>
                </c:pt>
                <c:pt idx="104">
                  <c:v>13325</c:v>
                </c:pt>
                <c:pt idx="105">
                  <c:v>13325</c:v>
                </c:pt>
                <c:pt idx="106">
                  <c:v>13325</c:v>
                </c:pt>
                <c:pt idx="107">
                  <c:v>13325</c:v>
                </c:pt>
                <c:pt idx="108">
                  <c:v>13325</c:v>
                </c:pt>
                <c:pt idx="109">
                  <c:v>13325</c:v>
                </c:pt>
                <c:pt idx="110">
                  <c:v>13325</c:v>
                </c:pt>
                <c:pt idx="111">
                  <c:v>13325</c:v>
                </c:pt>
                <c:pt idx="112">
                  <c:v>13325</c:v>
                </c:pt>
                <c:pt idx="113">
                  <c:v>13325</c:v>
                </c:pt>
                <c:pt idx="114">
                  <c:v>13325</c:v>
                </c:pt>
                <c:pt idx="115">
                  <c:v>13325</c:v>
                </c:pt>
                <c:pt idx="116">
                  <c:v>13325</c:v>
                </c:pt>
                <c:pt idx="117">
                  <c:v>13325</c:v>
                </c:pt>
                <c:pt idx="118">
                  <c:v>13325</c:v>
                </c:pt>
                <c:pt idx="119">
                  <c:v>13325</c:v>
                </c:pt>
                <c:pt idx="120">
                  <c:v>13325</c:v>
                </c:pt>
              </c:numCache>
            </c:numRef>
          </c:val>
        </c:ser>
        <c:ser>
          <c:idx val="1"/>
          <c:order val="1"/>
          <c:tx>
            <c:v>Surplus: GCU or vent</c:v>
          </c:tx>
          <c:spPr>
            <a:solidFill>
              <a:srgbClr val="60269E">
                <a:alpha val="20000"/>
              </a:srgbClr>
            </a:solidFill>
            <a:ln>
              <a:noFill/>
            </a:ln>
          </c:spPr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Midstream!$E$97:$E$217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127</c:v>
                </c:pt>
                <c:pt idx="76">
                  <c:v>268.6</c:v>
                </c:pt>
                <c:pt idx="77">
                  <c:v>410.200000000001</c:v>
                </c:pt>
                <c:pt idx="78">
                  <c:v>551.799999999999</c:v>
                </c:pt>
                <c:pt idx="79">
                  <c:v>693.4</c:v>
                </c:pt>
                <c:pt idx="80">
                  <c:v>835</c:v>
                </c:pt>
                <c:pt idx="81">
                  <c:v>976.6</c:v>
                </c:pt>
                <c:pt idx="82">
                  <c:v>1118.2</c:v>
                </c:pt>
                <c:pt idx="83">
                  <c:v>1259.8</c:v>
                </c:pt>
                <c:pt idx="84">
                  <c:v>1401.4</c:v>
                </c:pt>
                <c:pt idx="85">
                  <c:v>1543</c:v>
                </c:pt>
                <c:pt idx="86">
                  <c:v>1684.6</c:v>
                </c:pt>
                <c:pt idx="87">
                  <c:v>1826.2</c:v>
                </c:pt>
                <c:pt idx="88">
                  <c:v>1967.8</c:v>
                </c:pt>
                <c:pt idx="89">
                  <c:v>2109.4</c:v>
                </c:pt>
                <c:pt idx="90">
                  <c:v>2251</c:v>
                </c:pt>
                <c:pt idx="91">
                  <c:v>2392.6</c:v>
                </c:pt>
                <c:pt idx="92">
                  <c:v>2534.2</c:v>
                </c:pt>
                <c:pt idx="93">
                  <c:v>2675.8</c:v>
                </c:pt>
                <c:pt idx="94">
                  <c:v>2817.4</c:v>
                </c:pt>
                <c:pt idx="95">
                  <c:v>2959</c:v>
                </c:pt>
                <c:pt idx="96">
                  <c:v>3100.6</c:v>
                </c:pt>
                <c:pt idx="97">
                  <c:v>3242.2</c:v>
                </c:pt>
                <c:pt idx="98">
                  <c:v>3383.8</c:v>
                </c:pt>
                <c:pt idx="99">
                  <c:v>3525.4</c:v>
                </c:pt>
                <c:pt idx="100">
                  <c:v>3667</c:v>
                </c:pt>
                <c:pt idx="101">
                  <c:v>3808.6</c:v>
                </c:pt>
                <c:pt idx="102">
                  <c:v>3950.2</c:v>
                </c:pt>
                <c:pt idx="103">
                  <c:v>4091.8</c:v>
                </c:pt>
                <c:pt idx="104">
                  <c:v>4233.4</c:v>
                </c:pt>
                <c:pt idx="105">
                  <c:v>4375</c:v>
                </c:pt>
                <c:pt idx="106">
                  <c:v>4516.6</c:v>
                </c:pt>
                <c:pt idx="107">
                  <c:v>4658.2</c:v>
                </c:pt>
                <c:pt idx="108">
                  <c:v>4799.8</c:v>
                </c:pt>
                <c:pt idx="109">
                  <c:v>4941.4</c:v>
                </c:pt>
                <c:pt idx="110">
                  <c:v>5083</c:v>
                </c:pt>
                <c:pt idx="111">
                  <c:v>5224.6</c:v>
                </c:pt>
                <c:pt idx="112">
                  <c:v>5366.2</c:v>
                </c:pt>
                <c:pt idx="113">
                  <c:v>5507.8</c:v>
                </c:pt>
                <c:pt idx="114">
                  <c:v>5649.4</c:v>
                </c:pt>
                <c:pt idx="115">
                  <c:v>5791</c:v>
                </c:pt>
                <c:pt idx="116">
                  <c:v>5932.6</c:v>
                </c:pt>
                <c:pt idx="117">
                  <c:v>6074.2</c:v>
                </c:pt>
                <c:pt idx="118">
                  <c:v>6215.8</c:v>
                </c:pt>
                <c:pt idx="119">
                  <c:v>6357.4</c:v>
                </c:pt>
                <c:pt idx="120">
                  <c:v>6499</c:v>
                </c:pt>
              </c:numCache>
            </c:numRef>
          </c:val>
        </c:ser>
        <c:axId val="50030001"/>
        <c:axId val="50030002"/>
      </c:areaChart>
      <c:lineChart>
        <c:grouping val="standard"/>
        <c:ser>
          <c:idx val="2"/>
          <c:order val="2"/>
          <c:tx>
            <c:v>H₂ boil-off available</c:v>
          </c:tx>
          <c:spPr>
            <a:ln w="31750">
              <a:solidFill>
                <a:srgbClr val="60269E"/>
              </a:solidFill>
            </a:ln>
          </c:spPr>
          <c:marker>
            <c:symbol val="none"/>
          </c:marker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Midstream!$C$97:$C$217</c:f>
              <c:numCache>
                <c:formatCode>General</c:formatCode>
                <c:ptCount val="121"/>
                <c:pt idx="0">
                  <c:v>2832</c:v>
                </c:pt>
                <c:pt idx="1">
                  <c:v>2973.6</c:v>
                </c:pt>
                <c:pt idx="2">
                  <c:v>3115.2</c:v>
                </c:pt>
                <c:pt idx="3">
                  <c:v>3256.8</c:v>
                </c:pt>
                <c:pt idx="4">
                  <c:v>3398.4</c:v>
                </c:pt>
                <c:pt idx="5">
                  <c:v>3540</c:v>
                </c:pt>
                <c:pt idx="6">
                  <c:v>3681.6</c:v>
                </c:pt>
                <c:pt idx="7">
                  <c:v>3823.2</c:v>
                </c:pt>
                <c:pt idx="8">
                  <c:v>3964.8</c:v>
                </c:pt>
                <c:pt idx="9">
                  <c:v>4106.4</c:v>
                </c:pt>
                <c:pt idx="10">
                  <c:v>4248</c:v>
                </c:pt>
                <c:pt idx="11">
                  <c:v>4389.6</c:v>
                </c:pt>
                <c:pt idx="12">
                  <c:v>4531.2</c:v>
                </c:pt>
                <c:pt idx="13">
                  <c:v>4672.8</c:v>
                </c:pt>
                <c:pt idx="14">
                  <c:v>4814.4</c:v>
                </c:pt>
                <c:pt idx="15">
                  <c:v>4956</c:v>
                </c:pt>
                <c:pt idx="16">
                  <c:v>5097.6</c:v>
                </c:pt>
                <c:pt idx="17">
                  <c:v>5239.2</c:v>
                </c:pt>
                <c:pt idx="18">
                  <c:v>5380.8</c:v>
                </c:pt>
                <c:pt idx="19">
                  <c:v>5522.4</c:v>
                </c:pt>
                <c:pt idx="20">
                  <c:v>5664</c:v>
                </c:pt>
                <c:pt idx="21">
                  <c:v>5805.6</c:v>
                </c:pt>
                <c:pt idx="22">
                  <c:v>5947.2</c:v>
                </c:pt>
                <c:pt idx="23">
                  <c:v>6088.8</c:v>
                </c:pt>
                <c:pt idx="24">
                  <c:v>6230.4</c:v>
                </c:pt>
                <c:pt idx="25">
                  <c:v>6372</c:v>
                </c:pt>
                <c:pt idx="26">
                  <c:v>6513.6</c:v>
                </c:pt>
                <c:pt idx="27">
                  <c:v>6655.2</c:v>
                </c:pt>
                <c:pt idx="28">
                  <c:v>6796.8</c:v>
                </c:pt>
                <c:pt idx="29">
                  <c:v>6938.4</c:v>
                </c:pt>
                <c:pt idx="30">
                  <c:v>7080</c:v>
                </c:pt>
                <c:pt idx="31">
                  <c:v>7221.6</c:v>
                </c:pt>
                <c:pt idx="32">
                  <c:v>7363.2</c:v>
                </c:pt>
                <c:pt idx="33">
                  <c:v>7504.8</c:v>
                </c:pt>
                <c:pt idx="34">
                  <c:v>7646.4</c:v>
                </c:pt>
                <c:pt idx="35">
                  <c:v>7788</c:v>
                </c:pt>
                <c:pt idx="36">
                  <c:v>7929.6</c:v>
                </c:pt>
                <c:pt idx="37">
                  <c:v>8071.2</c:v>
                </c:pt>
                <c:pt idx="38">
                  <c:v>8212.8</c:v>
                </c:pt>
                <c:pt idx="39">
                  <c:v>8354.4</c:v>
                </c:pt>
                <c:pt idx="40">
                  <c:v>8496</c:v>
                </c:pt>
                <c:pt idx="41">
                  <c:v>8637.6</c:v>
                </c:pt>
                <c:pt idx="42">
                  <c:v>8779.2</c:v>
                </c:pt>
                <c:pt idx="43">
                  <c:v>8920.8</c:v>
                </c:pt>
                <c:pt idx="44">
                  <c:v>9062.4</c:v>
                </c:pt>
                <c:pt idx="45">
                  <c:v>9204</c:v>
                </c:pt>
                <c:pt idx="46">
                  <c:v>9345.6</c:v>
                </c:pt>
                <c:pt idx="47">
                  <c:v>9487.2</c:v>
                </c:pt>
                <c:pt idx="48">
                  <c:v>9628.8</c:v>
                </c:pt>
                <c:pt idx="49">
                  <c:v>9770.4</c:v>
                </c:pt>
                <c:pt idx="50">
                  <c:v>9912</c:v>
                </c:pt>
                <c:pt idx="51">
                  <c:v>10053.6</c:v>
                </c:pt>
                <c:pt idx="52">
                  <c:v>10195.2</c:v>
                </c:pt>
                <c:pt idx="53">
                  <c:v>10336.8</c:v>
                </c:pt>
                <c:pt idx="54">
                  <c:v>10478.4</c:v>
                </c:pt>
                <c:pt idx="55">
                  <c:v>10620</c:v>
                </c:pt>
                <c:pt idx="56">
                  <c:v>10761.6</c:v>
                </c:pt>
                <c:pt idx="57">
                  <c:v>10903.2</c:v>
                </c:pt>
                <c:pt idx="58">
                  <c:v>11044.8</c:v>
                </c:pt>
                <c:pt idx="59">
                  <c:v>11186.4</c:v>
                </c:pt>
                <c:pt idx="60">
                  <c:v>11328</c:v>
                </c:pt>
                <c:pt idx="61">
                  <c:v>11469.6</c:v>
                </c:pt>
                <c:pt idx="62">
                  <c:v>11611.2</c:v>
                </c:pt>
                <c:pt idx="63">
                  <c:v>11752.8</c:v>
                </c:pt>
                <c:pt idx="64">
                  <c:v>11894.4</c:v>
                </c:pt>
                <c:pt idx="65">
                  <c:v>12036</c:v>
                </c:pt>
                <c:pt idx="66">
                  <c:v>12177.6</c:v>
                </c:pt>
                <c:pt idx="67">
                  <c:v>12319.2</c:v>
                </c:pt>
                <c:pt idx="68">
                  <c:v>12460.8</c:v>
                </c:pt>
                <c:pt idx="69">
                  <c:v>12602.4</c:v>
                </c:pt>
                <c:pt idx="70">
                  <c:v>12744</c:v>
                </c:pt>
                <c:pt idx="71">
                  <c:v>12885.6</c:v>
                </c:pt>
                <c:pt idx="72">
                  <c:v>13027.2</c:v>
                </c:pt>
                <c:pt idx="73">
                  <c:v>13168.8</c:v>
                </c:pt>
                <c:pt idx="74">
                  <c:v>13310.4</c:v>
                </c:pt>
                <c:pt idx="75">
                  <c:v>13452</c:v>
                </c:pt>
                <c:pt idx="76">
                  <c:v>13593.6</c:v>
                </c:pt>
                <c:pt idx="77">
                  <c:v>13735.2</c:v>
                </c:pt>
                <c:pt idx="78">
                  <c:v>13876.8</c:v>
                </c:pt>
                <c:pt idx="79">
                  <c:v>14018.4</c:v>
                </c:pt>
                <c:pt idx="80">
                  <c:v>14160</c:v>
                </c:pt>
                <c:pt idx="81">
                  <c:v>14301.6</c:v>
                </c:pt>
                <c:pt idx="82">
                  <c:v>14443.2</c:v>
                </c:pt>
                <c:pt idx="83">
                  <c:v>14584.8</c:v>
                </c:pt>
                <c:pt idx="84">
                  <c:v>14726.4</c:v>
                </c:pt>
                <c:pt idx="85">
                  <c:v>14868</c:v>
                </c:pt>
                <c:pt idx="86">
                  <c:v>15009.6</c:v>
                </c:pt>
                <c:pt idx="87">
                  <c:v>15151.2</c:v>
                </c:pt>
                <c:pt idx="88">
                  <c:v>15292.8</c:v>
                </c:pt>
                <c:pt idx="89">
                  <c:v>15434.4</c:v>
                </c:pt>
                <c:pt idx="90">
                  <c:v>15576</c:v>
                </c:pt>
                <c:pt idx="91">
                  <c:v>15717.6</c:v>
                </c:pt>
                <c:pt idx="92">
                  <c:v>15859.2</c:v>
                </c:pt>
                <c:pt idx="93">
                  <c:v>16000.8</c:v>
                </c:pt>
                <c:pt idx="94">
                  <c:v>16142.4</c:v>
                </c:pt>
                <c:pt idx="95">
                  <c:v>16284</c:v>
                </c:pt>
                <c:pt idx="96">
                  <c:v>16425.6</c:v>
                </c:pt>
                <c:pt idx="97">
                  <c:v>16567.2</c:v>
                </c:pt>
                <c:pt idx="98">
                  <c:v>16708.8</c:v>
                </c:pt>
                <c:pt idx="99">
                  <c:v>16850.4</c:v>
                </c:pt>
                <c:pt idx="100">
                  <c:v>16992</c:v>
                </c:pt>
                <c:pt idx="101">
                  <c:v>17133.6</c:v>
                </c:pt>
                <c:pt idx="102">
                  <c:v>17275.2</c:v>
                </c:pt>
                <c:pt idx="103">
                  <c:v>17416.8</c:v>
                </c:pt>
                <c:pt idx="104">
                  <c:v>17558.4</c:v>
                </c:pt>
                <c:pt idx="105">
                  <c:v>17700</c:v>
                </c:pt>
                <c:pt idx="106">
                  <c:v>17841.6</c:v>
                </c:pt>
                <c:pt idx="107">
                  <c:v>17983.2</c:v>
                </c:pt>
                <c:pt idx="108">
                  <c:v>18124.8</c:v>
                </c:pt>
                <c:pt idx="109">
                  <c:v>18266.4</c:v>
                </c:pt>
                <c:pt idx="110">
                  <c:v>18408</c:v>
                </c:pt>
                <c:pt idx="111">
                  <c:v>18549.6</c:v>
                </c:pt>
                <c:pt idx="112">
                  <c:v>18691.2</c:v>
                </c:pt>
                <c:pt idx="113">
                  <c:v>18832.8</c:v>
                </c:pt>
                <c:pt idx="114">
                  <c:v>18974.4</c:v>
                </c:pt>
                <c:pt idx="115">
                  <c:v>19116</c:v>
                </c:pt>
                <c:pt idx="116">
                  <c:v>19257.6</c:v>
                </c:pt>
                <c:pt idx="117">
                  <c:v>19399.2</c:v>
                </c:pt>
                <c:pt idx="118">
                  <c:v>19540.8</c:v>
                </c:pt>
                <c:pt idx="119">
                  <c:v>19682.4</c:v>
                </c:pt>
                <c:pt idx="120">
                  <c:v>19824</c:v>
                </c:pt>
              </c:numCache>
            </c:numRef>
          </c:val>
        </c:ser>
        <c:ser>
          <c:idx val="3"/>
          <c:order val="3"/>
          <c:tx>
            <c:v>H₂ the engine can burn (whole fuel demand)</c:v>
          </c:tx>
          <c:spPr>
            <a:ln w="19050">
              <a:solidFill>
                <a:srgbClr val="65758B"/>
              </a:solidFill>
              <a:prstDash val="dash"/>
            </a:ln>
          </c:spPr>
          <c:marker>
            <c:symbol val="none"/>
          </c:marker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Midstream!$D$97:$D$217</c:f>
              <c:numCache>
                <c:formatCode>General</c:formatCode>
                <c:ptCount val="121"/>
                <c:pt idx="0">
                  <c:v>13325</c:v>
                </c:pt>
                <c:pt idx="1">
                  <c:v>13325</c:v>
                </c:pt>
                <c:pt idx="2">
                  <c:v>13325</c:v>
                </c:pt>
                <c:pt idx="3">
                  <c:v>13325</c:v>
                </c:pt>
                <c:pt idx="4">
                  <c:v>13325</c:v>
                </c:pt>
                <c:pt idx="5">
                  <c:v>13325</c:v>
                </c:pt>
                <c:pt idx="6">
                  <c:v>13325</c:v>
                </c:pt>
                <c:pt idx="7">
                  <c:v>13325</c:v>
                </c:pt>
                <c:pt idx="8">
                  <c:v>13325</c:v>
                </c:pt>
                <c:pt idx="9">
                  <c:v>13325</c:v>
                </c:pt>
                <c:pt idx="10">
                  <c:v>13325</c:v>
                </c:pt>
                <c:pt idx="11">
                  <c:v>13325</c:v>
                </c:pt>
                <c:pt idx="12">
                  <c:v>13325</c:v>
                </c:pt>
                <c:pt idx="13">
                  <c:v>13325</c:v>
                </c:pt>
                <c:pt idx="14">
                  <c:v>13325</c:v>
                </c:pt>
                <c:pt idx="15">
                  <c:v>13325</c:v>
                </c:pt>
                <c:pt idx="16">
                  <c:v>13325</c:v>
                </c:pt>
                <c:pt idx="17">
                  <c:v>13325</c:v>
                </c:pt>
                <c:pt idx="18">
                  <c:v>13325</c:v>
                </c:pt>
                <c:pt idx="19">
                  <c:v>13325</c:v>
                </c:pt>
                <c:pt idx="20">
                  <c:v>13325</c:v>
                </c:pt>
                <c:pt idx="21">
                  <c:v>13325</c:v>
                </c:pt>
                <c:pt idx="22">
                  <c:v>13325</c:v>
                </c:pt>
                <c:pt idx="23">
                  <c:v>13325</c:v>
                </c:pt>
                <c:pt idx="24">
                  <c:v>13325</c:v>
                </c:pt>
                <c:pt idx="25">
                  <c:v>13325</c:v>
                </c:pt>
                <c:pt idx="26">
                  <c:v>13325</c:v>
                </c:pt>
                <c:pt idx="27">
                  <c:v>13325</c:v>
                </c:pt>
                <c:pt idx="28">
                  <c:v>13325</c:v>
                </c:pt>
                <c:pt idx="29">
                  <c:v>13325</c:v>
                </c:pt>
                <c:pt idx="30">
                  <c:v>13325</c:v>
                </c:pt>
                <c:pt idx="31">
                  <c:v>13325</c:v>
                </c:pt>
                <c:pt idx="32">
                  <c:v>13325</c:v>
                </c:pt>
                <c:pt idx="33">
                  <c:v>13325</c:v>
                </c:pt>
                <c:pt idx="34">
                  <c:v>13325</c:v>
                </c:pt>
                <c:pt idx="35">
                  <c:v>13325</c:v>
                </c:pt>
                <c:pt idx="36">
                  <c:v>13325</c:v>
                </c:pt>
                <c:pt idx="37">
                  <c:v>13325</c:v>
                </c:pt>
                <c:pt idx="38">
                  <c:v>13325</c:v>
                </c:pt>
                <c:pt idx="39">
                  <c:v>13325</c:v>
                </c:pt>
                <c:pt idx="40">
                  <c:v>13325</c:v>
                </c:pt>
                <c:pt idx="41">
                  <c:v>13325</c:v>
                </c:pt>
                <c:pt idx="42">
                  <c:v>13325</c:v>
                </c:pt>
                <c:pt idx="43">
                  <c:v>13325</c:v>
                </c:pt>
                <c:pt idx="44">
                  <c:v>13325</c:v>
                </c:pt>
                <c:pt idx="45">
                  <c:v>13325</c:v>
                </c:pt>
                <c:pt idx="46">
                  <c:v>13325</c:v>
                </c:pt>
                <c:pt idx="47">
                  <c:v>13325</c:v>
                </c:pt>
                <c:pt idx="48">
                  <c:v>13325</c:v>
                </c:pt>
                <c:pt idx="49">
                  <c:v>13325</c:v>
                </c:pt>
                <c:pt idx="50">
                  <c:v>13325</c:v>
                </c:pt>
                <c:pt idx="51">
                  <c:v>13325</c:v>
                </c:pt>
                <c:pt idx="52">
                  <c:v>13325</c:v>
                </c:pt>
                <c:pt idx="53">
                  <c:v>13325</c:v>
                </c:pt>
                <c:pt idx="54">
                  <c:v>13325</c:v>
                </c:pt>
                <c:pt idx="55">
                  <c:v>13325</c:v>
                </c:pt>
                <c:pt idx="56">
                  <c:v>13325</c:v>
                </c:pt>
                <c:pt idx="57">
                  <c:v>13325</c:v>
                </c:pt>
                <c:pt idx="58">
                  <c:v>13325</c:v>
                </c:pt>
                <c:pt idx="59">
                  <c:v>13325</c:v>
                </c:pt>
                <c:pt idx="60">
                  <c:v>13325</c:v>
                </c:pt>
                <c:pt idx="61">
                  <c:v>13325</c:v>
                </c:pt>
                <c:pt idx="62">
                  <c:v>13325</c:v>
                </c:pt>
                <c:pt idx="63">
                  <c:v>13325</c:v>
                </c:pt>
                <c:pt idx="64">
                  <c:v>13325</c:v>
                </c:pt>
                <c:pt idx="65">
                  <c:v>13325</c:v>
                </c:pt>
                <c:pt idx="66">
                  <c:v>13325</c:v>
                </c:pt>
                <c:pt idx="67">
                  <c:v>13325</c:v>
                </c:pt>
                <c:pt idx="68">
                  <c:v>13325</c:v>
                </c:pt>
                <c:pt idx="69">
                  <c:v>13325</c:v>
                </c:pt>
                <c:pt idx="70">
                  <c:v>13325</c:v>
                </c:pt>
                <c:pt idx="71">
                  <c:v>13325</c:v>
                </c:pt>
                <c:pt idx="72">
                  <c:v>13325</c:v>
                </c:pt>
                <c:pt idx="73">
                  <c:v>13325</c:v>
                </c:pt>
                <c:pt idx="74">
                  <c:v>13325</c:v>
                </c:pt>
                <c:pt idx="75">
                  <c:v>13325</c:v>
                </c:pt>
                <c:pt idx="76">
                  <c:v>13325</c:v>
                </c:pt>
                <c:pt idx="77">
                  <c:v>13325</c:v>
                </c:pt>
                <c:pt idx="78">
                  <c:v>13325</c:v>
                </c:pt>
                <c:pt idx="79">
                  <c:v>13325</c:v>
                </c:pt>
                <c:pt idx="80">
                  <c:v>13325</c:v>
                </c:pt>
                <c:pt idx="81">
                  <c:v>13325</c:v>
                </c:pt>
                <c:pt idx="82">
                  <c:v>13325</c:v>
                </c:pt>
                <c:pt idx="83">
                  <c:v>13325</c:v>
                </c:pt>
                <c:pt idx="84">
                  <c:v>13325</c:v>
                </c:pt>
                <c:pt idx="85">
                  <c:v>13325</c:v>
                </c:pt>
                <c:pt idx="86">
                  <c:v>13325</c:v>
                </c:pt>
                <c:pt idx="87">
                  <c:v>13325</c:v>
                </c:pt>
                <c:pt idx="88">
                  <c:v>13325</c:v>
                </c:pt>
                <c:pt idx="89">
                  <c:v>13325</c:v>
                </c:pt>
                <c:pt idx="90">
                  <c:v>13325</c:v>
                </c:pt>
                <c:pt idx="91">
                  <c:v>13325</c:v>
                </c:pt>
                <c:pt idx="92">
                  <c:v>13325</c:v>
                </c:pt>
                <c:pt idx="93">
                  <c:v>13325</c:v>
                </c:pt>
                <c:pt idx="94">
                  <c:v>13325</c:v>
                </c:pt>
                <c:pt idx="95">
                  <c:v>13325</c:v>
                </c:pt>
                <c:pt idx="96">
                  <c:v>13325</c:v>
                </c:pt>
                <c:pt idx="97">
                  <c:v>13325</c:v>
                </c:pt>
                <c:pt idx="98">
                  <c:v>13325</c:v>
                </c:pt>
                <c:pt idx="99">
                  <c:v>13325</c:v>
                </c:pt>
                <c:pt idx="100">
                  <c:v>13325</c:v>
                </c:pt>
                <c:pt idx="101">
                  <c:v>13325</c:v>
                </c:pt>
                <c:pt idx="102">
                  <c:v>13325</c:v>
                </c:pt>
                <c:pt idx="103">
                  <c:v>13325</c:v>
                </c:pt>
                <c:pt idx="104">
                  <c:v>13325</c:v>
                </c:pt>
                <c:pt idx="105">
                  <c:v>13325</c:v>
                </c:pt>
                <c:pt idx="106">
                  <c:v>13325</c:v>
                </c:pt>
                <c:pt idx="107">
                  <c:v>13325</c:v>
                </c:pt>
                <c:pt idx="108">
                  <c:v>13325</c:v>
                </c:pt>
                <c:pt idx="109">
                  <c:v>13325</c:v>
                </c:pt>
                <c:pt idx="110">
                  <c:v>13325</c:v>
                </c:pt>
                <c:pt idx="111">
                  <c:v>13325</c:v>
                </c:pt>
                <c:pt idx="112">
                  <c:v>13325</c:v>
                </c:pt>
                <c:pt idx="113">
                  <c:v>13325</c:v>
                </c:pt>
                <c:pt idx="114">
                  <c:v>13325</c:v>
                </c:pt>
                <c:pt idx="115">
                  <c:v>13325</c:v>
                </c:pt>
                <c:pt idx="116">
                  <c:v>13325</c:v>
                </c:pt>
                <c:pt idx="117">
                  <c:v>13325</c:v>
                </c:pt>
                <c:pt idx="118">
                  <c:v>13325</c:v>
                </c:pt>
                <c:pt idx="119">
                  <c:v>13325</c:v>
                </c:pt>
                <c:pt idx="120">
                  <c:v>13325</c:v>
                </c:pt>
              </c:numCache>
            </c:numRef>
          </c:val>
        </c:ser>
        <c:ser>
          <c:idx val="4"/>
          <c:order val="4"/>
          <c:tx>
            <c:strRef>
              <c:f>'Midstream'!$B$67</c:f>
              <c:strCache>
                <c:ptCount val="1"/>
                <c:pt idx="0">
                  <c:v>Crossover 0.471 %/d · 13,325 kg/d H2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60269E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t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60269E"/>
                </a:solidFill>
                <a:prstDash val="dash"/>
              </a:ln>
            </c:spPr>
          </c:errBars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Midstream!$H$97:$H$217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13325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</c:ser>
        <c:ser>
          <c:idx val="5"/>
          <c:order val="5"/>
          <c:tx>
            <c:strRef>
              <c:f>'Midstream'!$B$68</c:f>
              <c:strCache>
                <c:ptCount val="1"/>
                <c:pt idx="0">
                  <c:v>Your case 0.40 %/d · 1,997 kg/d short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1F2933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b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1F2933"/>
                </a:solidFill>
                <a:prstDash val="sysDot"/>
              </a:ln>
            </c:spPr>
          </c:errBars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Midstream!$I$97:$I$217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11328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LH₂ voyage boil-off rate, %/day</a:t>
                </a:r>
              </a:p>
            </c:rich>
          </c:tx>
          <c:layout/>
        </c:title>
        <c:numFmt formatCode="0.0" sourceLinked="0"/>
        <c:majorTickMark val="out"/>
        <c:tickLblPos val="low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  <c:tickMarkSkip val="2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H₂, kg/day</a:t>
                </a:r>
              </a:p>
            </c:rich>
          </c:tx>
          <c:layout/>
        </c:title>
        <c:numFmt formatCode="#,##0,&quot;k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noFill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egendEntry>
        <c:idx val="5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'Midstream'!$B$75</c:f>
          <c:strCache>
            <c:ptCount val="1"/>
            <c:pt idx="0">
              <c:v>VLSFO the LH2 ship still buys, by boil-off rate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VLSFO bought, t/day</c:v>
          </c:tx>
          <c:spPr>
            <a:ln w="31750">
              <a:solidFill>
                <a:srgbClr val="00C8E8"/>
              </a:solidFill>
            </a:ln>
          </c:spPr>
          <c:marker>
            <c:symbol val="none"/>
          </c:marker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Midstream!$F$97:$F$217</c:f>
              <c:numCache>
                <c:formatCode>General</c:formatCode>
                <c:ptCount val="121"/>
                <c:pt idx="0">
                  <c:v>30.7112195121951</c:v>
                </c:pt>
                <c:pt idx="1">
                  <c:v>30.2967804878049</c:v>
                </c:pt>
                <c:pt idx="2">
                  <c:v>29.8823414634146</c:v>
                </c:pt>
                <c:pt idx="3">
                  <c:v>29.4679024390244</c:v>
                </c:pt>
                <c:pt idx="4">
                  <c:v>29.0534634146341</c:v>
                </c:pt>
                <c:pt idx="5">
                  <c:v>28.6390243902439</c:v>
                </c:pt>
                <c:pt idx="6">
                  <c:v>28.2245853658537</c:v>
                </c:pt>
                <c:pt idx="7">
                  <c:v>27.8101463414634</c:v>
                </c:pt>
                <c:pt idx="8">
                  <c:v>27.3957073170732</c:v>
                </c:pt>
                <c:pt idx="9">
                  <c:v>26.9812682926829</c:v>
                </c:pt>
                <c:pt idx="10">
                  <c:v>26.5668292682927</c:v>
                </c:pt>
                <c:pt idx="11">
                  <c:v>26.1523902439024</c:v>
                </c:pt>
                <c:pt idx="12">
                  <c:v>25.7379512195122</c:v>
                </c:pt>
                <c:pt idx="13">
                  <c:v>25.323512195122</c:v>
                </c:pt>
                <c:pt idx="14">
                  <c:v>24.9090731707317</c:v>
                </c:pt>
                <c:pt idx="15">
                  <c:v>24.4946341463415</c:v>
                </c:pt>
                <c:pt idx="16">
                  <c:v>24.0801951219512</c:v>
                </c:pt>
                <c:pt idx="17">
                  <c:v>23.665756097561</c:v>
                </c:pt>
                <c:pt idx="18">
                  <c:v>23.2513170731707</c:v>
                </c:pt>
                <c:pt idx="19">
                  <c:v>22.8368780487805</c:v>
                </c:pt>
                <c:pt idx="20">
                  <c:v>22.4224390243902</c:v>
                </c:pt>
                <c:pt idx="21">
                  <c:v>22.008</c:v>
                </c:pt>
                <c:pt idx="22">
                  <c:v>21.5935609756098</c:v>
                </c:pt>
                <c:pt idx="23">
                  <c:v>21.1791219512195</c:v>
                </c:pt>
                <c:pt idx="24">
                  <c:v>20.7646829268293</c:v>
                </c:pt>
                <c:pt idx="25">
                  <c:v>20.350243902439</c:v>
                </c:pt>
                <c:pt idx="26">
                  <c:v>19.9358048780488</c:v>
                </c:pt>
                <c:pt idx="27">
                  <c:v>19.5213658536585</c:v>
                </c:pt>
                <c:pt idx="28">
                  <c:v>19.1069268292683</c:v>
                </c:pt>
                <c:pt idx="29">
                  <c:v>18.6924878048781</c:v>
                </c:pt>
                <c:pt idx="30">
                  <c:v>18.2780487804878</c:v>
                </c:pt>
                <c:pt idx="31">
                  <c:v>17.8636097560976</c:v>
                </c:pt>
                <c:pt idx="32">
                  <c:v>17.4491707317073</c:v>
                </c:pt>
                <c:pt idx="33">
                  <c:v>17.0347317073171</c:v>
                </c:pt>
                <c:pt idx="34">
                  <c:v>16.6202926829268</c:v>
                </c:pt>
                <c:pt idx="35">
                  <c:v>16.2058536585366</c:v>
                </c:pt>
                <c:pt idx="36">
                  <c:v>15.7914146341463</c:v>
                </c:pt>
                <c:pt idx="37">
                  <c:v>15.3769756097561</c:v>
                </c:pt>
                <c:pt idx="38">
                  <c:v>14.9625365853659</c:v>
                </c:pt>
                <c:pt idx="39">
                  <c:v>14.5480975609756</c:v>
                </c:pt>
                <c:pt idx="40">
                  <c:v>14.1336585365854</c:v>
                </c:pt>
                <c:pt idx="41">
                  <c:v>13.7192195121951</c:v>
                </c:pt>
                <c:pt idx="42">
                  <c:v>13.3047804878049</c:v>
                </c:pt>
                <c:pt idx="43">
                  <c:v>12.8903414634146</c:v>
                </c:pt>
                <c:pt idx="44">
                  <c:v>12.4759024390244</c:v>
                </c:pt>
                <c:pt idx="45">
                  <c:v>12.0614634146341</c:v>
                </c:pt>
                <c:pt idx="46">
                  <c:v>11.6470243902439</c:v>
                </c:pt>
                <c:pt idx="47">
                  <c:v>11.2325853658537</c:v>
                </c:pt>
                <c:pt idx="48">
                  <c:v>10.8181463414634</c:v>
                </c:pt>
                <c:pt idx="49">
                  <c:v>10.4037073170732</c:v>
                </c:pt>
                <c:pt idx="50">
                  <c:v>9.98926829268293</c:v>
                </c:pt>
                <c:pt idx="51">
                  <c:v>9.57482926829269</c:v>
                </c:pt>
                <c:pt idx="52">
                  <c:v>9.16039024390244</c:v>
                </c:pt>
                <c:pt idx="53">
                  <c:v>8.74595121951219</c:v>
                </c:pt>
                <c:pt idx="54">
                  <c:v>8.33151219512195</c:v>
                </c:pt>
                <c:pt idx="55">
                  <c:v>7.91707317073171</c:v>
                </c:pt>
                <c:pt idx="56">
                  <c:v>7.50263414634146</c:v>
                </c:pt>
                <c:pt idx="57">
                  <c:v>7.08819512195122</c:v>
                </c:pt>
                <c:pt idx="58">
                  <c:v>6.67375609756098</c:v>
                </c:pt>
                <c:pt idx="59">
                  <c:v>6.25931707317074</c:v>
                </c:pt>
                <c:pt idx="60">
                  <c:v>5.84487804878049</c:v>
                </c:pt>
                <c:pt idx="61">
                  <c:v>5.43043902439025</c:v>
                </c:pt>
                <c:pt idx="62">
                  <c:v>5.016</c:v>
                </c:pt>
                <c:pt idx="63">
                  <c:v>4.60156097560976</c:v>
                </c:pt>
                <c:pt idx="64">
                  <c:v>4.18712195121951</c:v>
                </c:pt>
                <c:pt idx="65">
                  <c:v>3.77268292682927</c:v>
                </c:pt>
                <c:pt idx="66">
                  <c:v>3.35824390243903</c:v>
                </c:pt>
                <c:pt idx="67">
                  <c:v>2.94380487804878</c:v>
                </c:pt>
                <c:pt idx="68">
                  <c:v>2.52936585365853</c:v>
                </c:pt>
                <c:pt idx="69">
                  <c:v>2.11492682926829</c:v>
                </c:pt>
                <c:pt idx="70">
                  <c:v>1.70048780487805</c:v>
                </c:pt>
                <c:pt idx="71">
                  <c:v>1.2860487804878</c:v>
                </c:pt>
                <c:pt idx="72">
                  <c:v>0.871609756097563</c:v>
                </c:pt>
                <c:pt idx="73">
                  <c:v>0.457170731707315</c:v>
                </c:pt>
                <c:pt idx="74">
                  <c:v>0.0427317073170741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</c:ser>
        <c:ser>
          <c:idx val="1"/>
          <c:order val="1"/>
          <c:tx>
            <c:v>User table's negative VLSFO (surplus as VLSFO-eq)</c:v>
          </c:tx>
          <c:spPr>
            <a:ln w="19050">
              <a:solidFill>
                <a:srgbClr val="65758B"/>
              </a:solidFill>
              <a:prstDash val="dash"/>
            </a:ln>
          </c:spPr>
          <c:marker>
            <c:symbol val="none"/>
          </c:marker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Midstream!$G$97:$G$217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-0.371707317073167</c:v>
                </c:pt>
                <c:pt idx="76">
                  <c:v>-0.786146341463414</c:v>
                </c:pt>
                <c:pt idx="77">
                  <c:v>-1.20058536585366</c:v>
                </c:pt>
                <c:pt idx="78">
                  <c:v>-1.6150243902439</c:v>
                </c:pt>
                <c:pt idx="79">
                  <c:v>-2.02946341463415</c:v>
                </c:pt>
                <c:pt idx="80">
                  <c:v>-2.44390243902438</c:v>
                </c:pt>
                <c:pt idx="81">
                  <c:v>-2.85834146341463</c:v>
                </c:pt>
                <c:pt idx="82">
                  <c:v>-3.27278048780488</c:v>
                </c:pt>
                <c:pt idx="83">
                  <c:v>-3.68721951219512</c:v>
                </c:pt>
                <c:pt idx="84">
                  <c:v>-4.10165853658537</c:v>
                </c:pt>
                <c:pt idx="85">
                  <c:v>-4.51609756097562</c:v>
                </c:pt>
                <c:pt idx="86">
                  <c:v>-4.93053658536585</c:v>
                </c:pt>
                <c:pt idx="87">
                  <c:v>-5.3449756097561</c:v>
                </c:pt>
                <c:pt idx="88">
                  <c:v>-5.75941463414634</c:v>
                </c:pt>
                <c:pt idx="89">
                  <c:v>-6.17385365853659</c:v>
                </c:pt>
                <c:pt idx="90">
                  <c:v>-6.58829268292683</c:v>
                </c:pt>
                <c:pt idx="91">
                  <c:v>-7.00273170731708</c:v>
                </c:pt>
                <c:pt idx="92">
                  <c:v>-7.41717073170732</c:v>
                </c:pt>
                <c:pt idx="93">
                  <c:v>-7.83160975609756</c:v>
                </c:pt>
                <c:pt idx="94">
                  <c:v>-8.2460487804878</c:v>
                </c:pt>
                <c:pt idx="95">
                  <c:v>-8.66048780487805</c:v>
                </c:pt>
                <c:pt idx="96">
                  <c:v>-9.07492682926829</c:v>
                </c:pt>
                <c:pt idx="97">
                  <c:v>-9.48936585365853</c:v>
                </c:pt>
                <c:pt idx="98">
                  <c:v>-9.90380487804878</c:v>
                </c:pt>
                <c:pt idx="99">
                  <c:v>-10.318243902439</c:v>
                </c:pt>
                <c:pt idx="100">
                  <c:v>-10.7326829268293</c:v>
                </c:pt>
                <c:pt idx="101">
                  <c:v>-11.1471219512195</c:v>
                </c:pt>
                <c:pt idx="102">
                  <c:v>-11.5615609756098</c:v>
                </c:pt>
                <c:pt idx="103">
                  <c:v>-11.976</c:v>
                </c:pt>
                <c:pt idx="104">
                  <c:v>-12.3904390243902</c:v>
                </c:pt>
                <c:pt idx="105">
                  <c:v>-12.8048780487805</c:v>
                </c:pt>
                <c:pt idx="106">
                  <c:v>-13.2193170731707</c:v>
                </c:pt>
                <c:pt idx="107">
                  <c:v>-13.633756097561</c:v>
                </c:pt>
                <c:pt idx="108">
                  <c:v>-14.0481951219512</c:v>
                </c:pt>
                <c:pt idx="109">
                  <c:v>-14.4626341463415</c:v>
                </c:pt>
                <c:pt idx="110">
                  <c:v>-14.8770731707317</c:v>
                </c:pt>
                <c:pt idx="111">
                  <c:v>-15.2915121951219</c:v>
                </c:pt>
                <c:pt idx="112">
                  <c:v>-15.7059512195122</c:v>
                </c:pt>
                <c:pt idx="113">
                  <c:v>-16.1203902439024</c:v>
                </c:pt>
                <c:pt idx="114">
                  <c:v>-16.5348292682927</c:v>
                </c:pt>
                <c:pt idx="115">
                  <c:v>-16.9492682926829</c:v>
                </c:pt>
                <c:pt idx="116">
                  <c:v>-17.3637073170732</c:v>
                </c:pt>
                <c:pt idx="117">
                  <c:v>-17.7781463414634</c:v>
                </c:pt>
                <c:pt idx="118">
                  <c:v>-18.1925853658537</c:v>
                </c:pt>
                <c:pt idx="119">
                  <c:v>-18.6070243902439</c:v>
                </c:pt>
                <c:pt idx="120">
                  <c:v>-19.0214634146341</c:v>
                </c:pt>
              </c:numCache>
            </c:numRef>
          </c:val>
        </c:ser>
        <c:ser>
          <c:idx val="2"/>
          <c:order val="2"/>
          <c:tx>
            <c:strRef>
              <c:f>'Midstream'!$B$69</c:f>
              <c:strCache>
                <c:ptCount val="1"/>
                <c:pt idx="0">
                  <c:v>5.84 t/d at 0.40 %/d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1F2933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t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1F2933"/>
                </a:solidFill>
                <a:prstDash val="sysDot"/>
              </a:ln>
            </c:spPr>
          </c:errBars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Midstream!$J$97:$J$217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5.84487804878049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</c:ser>
        <c:ser>
          <c:idx val="3"/>
          <c:order val="3"/>
          <c:tx>
            <c:v>Crossover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60269E"/>
              </a:solidFill>
              <a:ln w="19050">
                <a:solidFill>
                  <a:srgbClr val="FFFFFF"/>
                </a:solidFill>
              </a:ln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60269E"/>
                </a:solidFill>
                <a:prstDash val="dash"/>
              </a:ln>
            </c:spPr>
          </c:errBars>
          <c:cat>
            <c:strRef>
              <c:f>Midstream!$L$97:$L$217</c:f>
              <c:strCache>
                <c:ptCount val="121"/>
                <c:pt idx="0">
                  <c:v>0.1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0.2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0.3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0.4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0.5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0.6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0.7</c:v>
                </c:pt>
              </c:strCache>
            </c:strRef>
          </c:cat>
          <c:val>
            <c:numRef>
              <c:f>Midstream!$K$97:$K$217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LH₂ voyage boil-off rate, %/day</a:t>
                </a:r>
              </a:p>
            </c:rich>
          </c:tx>
          <c:layout/>
        </c:title>
        <c:numFmt formatCode="0.0" sourceLinked="0"/>
        <c:majorTickMark val="out"/>
        <c:tickLblPos val="low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  <c:tickMarkSkip val="2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VLSFO, t/day</a:t>
                </a:r>
              </a:p>
            </c:rich>
          </c:tx>
          <c:layout/>
        </c:title>
        <c:numFmt formatCode="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'Midstream'!$B$66</c:f>
          <c:strCache>
            <c:ptCount val="1"/>
            <c:pt idx="0">
              <c:v>Burning boil-off beats the ammonia ship while H2 is below USD 3.10/kg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NH₃ carrier (NH₃ fuel + VLSFO pilot)</c:v>
          </c:tx>
          <c:spPr>
            <a:ln w="31750">
              <a:solidFill>
                <a:srgbClr val="00C8E8"/>
              </a:solidFill>
            </a:ln>
          </c:spPr>
          <c:marker>
            <c:symbol val="none"/>
          </c:marker>
          <c:cat>
            <c:strRef>
              <c:f>Midstream!$H$222:$H$422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Midstream!$D$222:$D$422</c:f>
              <c:numCache>
                <c:formatCode>General</c:formatCode>
                <c:ptCount val="201"/>
                <c:pt idx="0">
                  <c:v>38593.5483870968</c:v>
                </c:pt>
                <c:pt idx="1">
                  <c:v>38593.5483870968</c:v>
                </c:pt>
                <c:pt idx="2">
                  <c:v>38593.5483870968</c:v>
                </c:pt>
                <c:pt idx="3">
                  <c:v>38593.5483870968</c:v>
                </c:pt>
                <c:pt idx="4">
                  <c:v>38593.5483870968</c:v>
                </c:pt>
                <c:pt idx="5">
                  <c:v>38593.5483870968</c:v>
                </c:pt>
                <c:pt idx="6">
                  <c:v>38593.5483870968</c:v>
                </c:pt>
                <c:pt idx="7">
                  <c:v>38593.5483870968</c:v>
                </c:pt>
                <c:pt idx="8">
                  <c:v>38593.5483870968</c:v>
                </c:pt>
                <c:pt idx="9">
                  <c:v>38593.5483870968</c:v>
                </c:pt>
                <c:pt idx="10">
                  <c:v>38593.5483870968</c:v>
                </c:pt>
                <c:pt idx="11">
                  <c:v>38593.5483870968</c:v>
                </c:pt>
                <c:pt idx="12">
                  <c:v>38593.5483870968</c:v>
                </c:pt>
                <c:pt idx="13">
                  <c:v>38593.5483870968</c:v>
                </c:pt>
                <c:pt idx="14">
                  <c:v>38593.5483870968</c:v>
                </c:pt>
                <c:pt idx="15">
                  <c:v>38593.5483870968</c:v>
                </c:pt>
                <c:pt idx="16">
                  <c:v>38593.5483870968</c:v>
                </c:pt>
                <c:pt idx="17">
                  <c:v>38593.5483870968</c:v>
                </c:pt>
                <c:pt idx="18">
                  <c:v>38593.5483870968</c:v>
                </c:pt>
                <c:pt idx="19">
                  <c:v>38593.5483870968</c:v>
                </c:pt>
                <c:pt idx="20">
                  <c:v>38593.5483870968</c:v>
                </c:pt>
                <c:pt idx="21">
                  <c:v>38593.5483870968</c:v>
                </c:pt>
                <c:pt idx="22">
                  <c:v>38593.5483870968</c:v>
                </c:pt>
                <c:pt idx="23">
                  <c:v>38593.5483870968</c:v>
                </c:pt>
                <c:pt idx="24">
                  <c:v>38593.5483870968</c:v>
                </c:pt>
                <c:pt idx="25">
                  <c:v>38593.5483870968</c:v>
                </c:pt>
                <c:pt idx="26">
                  <c:v>38593.5483870968</c:v>
                </c:pt>
                <c:pt idx="27">
                  <c:v>38593.5483870968</c:v>
                </c:pt>
                <c:pt idx="28">
                  <c:v>38593.5483870968</c:v>
                </c:pt>
                <c:pt idx="29">
                  <c:v>38593.5483870968</c:v>
                </c:pt>
                <c:pt idx="30">
                  <c:v>38593.5483870968</c:v>
                </c:pt>
                <c:pt idx="31">
                  <c:v>38593.5483870968</c:v>
                </c:pt>
                <c:pt idx="32">
                  <c:v>38593.5483870968</c:v>
                </c:pt>
                <c:pt idx="33">
                  <c:v>38593.5483870968</c:v>
                </c:pt>
                <c:pt idx="34">
                  <c:v>38593.5483870968</c:v>
                </c:pt>
                <c:pt idx="35">
                  <c:v>38593.5483870968</c:v>
                </c:pt>
                <c:pt idx="36">
                  <c:v>38593.5483870968</c:v>
                </c:pt>
                <c:pt idx="37">
                  <c:v>38593.5483870968</c:v>
                </c:pt>
                <c:pt idx="38">
                  <c:v>38593.5483870968</c:v>
                </c:pt>
                <c:pt idx="39">
                  <c:v>38593.5483870968</c:v>
                </c:pt>
                <c:pt idx="40">
                  <c:v>38593.5483870968</c:v>
                </c:pt>
                <c:pt idx="41">
                  <c:v>38593.5483870968</c:v>
                </c:pt>
                <c:pt idx="42">
                  <c:v>38593.5483870968</c:v>
                </c:pt>
                <c:pt idx="43">
                  <c:v>38593.5483870968</c:v>
                </c:pt>
                <c:pt idx="44">
                  <c:v>38593.5483870968</c:v>
                </c:pt>
                <c:pt idx="45">
                  <c:v>38593.5483870968</c:v>
                </c:pt>
                <c:pt idx="46">
                  <c:v>38593.5483870968</c:v>
                </c:pt>
                <c:pt idx="47">
                  <c:v>38593.5483870968</c:v>
                </c:pt>
                <c:pt idx="48">
                  <c:v>38593.5483870968</c:v>
                </c:pt>
                <c:pt idx="49">
                  <c:v>38593.5483870968</c:v>
                </c:pt>
                <c:pt idx="50">
                  <c:v>38593.5483870968</c:v>
                </c:pt>
                <c:pt idx="51">
                  <c:v>38593.5483870968</c:v>
                </c:pt>
                <c:pt idx="52">
                  <c:v>38593.5483870968</c:v>
                </c:pt>
                <c:pt idx="53">
                  <c:v>38593.5483870968</c:v>
                </c:pt>
                <c:pt idx="54">
                  <c:v>38593.5483870968</c:v>
                </c:pt>
                <c:pt idx="55">
                  <c:v>38593.5483870968</c:v>
                </c:pt>
                <c:pt idx="56">
                  <c:v>38593.5483870968</c:v>
                </c:pt>
                <c:pt idx="57">
                  <c:v>38593.5483870968</c:v>
                </c:pt>
                <c:pt idx="58">
                  <c:v>38593.5483870968</c:v>
                </c:pt>
                <c:pt idx="59">
                  <c:v>38593.5483870968</c:v>
                </c:pt>
                <c:pt idx="60">
                  <c:v>38593.5483870968</c:v>
                </c:pt>
                <c:pt idx="61">
                  <c:v>38593.5483870968</c:v>
                </c:pt>
                <c:pt idx="62">
                  <c:v>38593.5483870968</c:v>
                </c:pt>
                <c:pt idx="63">
                  <c:v>38593.5483870968</c:v>
                </c:pt>
                <c:pt idx="64">
                  <c:v>38593.5483870968</c:v>
                </c:pt>
                <c:pt idx="65">
                  <c:v>38593.5483870968</c:v>
                </c:pt>
                <c:pt idx="66">
                  <c:v>38593.5483870968</c:v>
                </c:pt>
                <c:pt idx="67">
                  <c:v>38593.5483870968</c:v>
                </c:pt>
                <c:pt idx="68">
                  <c:v>38593.5483870968</c:v>
                </c:pt>
                <c:pt idx="69">
                  <c:v>38593.5483870968</c:v>
                </c:pt>
                <c:pt idx="70">
                  <c:v>38593.5483870968</c:v>
                </c:pt>
                <c:pt idx="71">
                  <c:v>38593.5483870968</c:v>
                </c:pt>
                <c:pt idx="72">
                  <c:v>38593.5483870968</c:v>
                </c:pt>
                <c:pt idx="73">
                  <c:v>38593.5483870968</c:v>
                </c:pt>
                <c:pt idx="74">
                  <c:v>38593.5483870968</c:v>
                </c:pt>
                <c:pt idx="75">
                  <c:v>38593.5483870968</c:v>
                </c:pt>
                <c:pt idx="76">
                  <c:v>38593.5483870968</c:v>
                </c:pt>
                <c:pt idx="77">
                  <c:v>38593.5483870968</c:v>
                </c:pt>
                <c:pt idx="78">
                  <c:v>38593.5483870968</c:v>
                </c:pt>
                <c:pt idx="79">
                  <c:v>38593.5483870968</c:v>
                </c:pt>
                <c:pt idx="80">
                  <c:v>38593.5483870968</c:v>
                </c:pt>
                <c:pt idx="81">
                  <c:v>38593.5483870968</c:v>
                </c:pt>
                <c:pt idx="82">
                  <c:v>38593.5483870968</c:v>
                </c:pt>
                <c:pt idx="83">
                  <c:v>38593.5483870968</c:v>
                </c:pt>
                <c:pt idx="84">
                  <c:v>38593.5483870968</c:v>
                </c:pt>
                <c:pt idx="85">
                  <c:v>38593.5483870968</c:v>
                </c:pt>
                <c:pt idx="86">
                  <c:v>38593.5483870968</c:v>
                </c:pt>
                <c:pt idx="87">
                  <c:v>38593.5483870968</c:v>
                </c:pt>
                <c:pt idx="88">
                  <c:v>38593.5483870968</c:v>
                </c:pt>
                <c:pt idx="89">
                  <c:v>38593.5483870968</c:v>
                </c:pt>
                <c:pt idx="90">
                  <c:v>38593.5483870968</c:v>
                </c:pt>
                <c:pt idx="91">
                  <c:v>38593.5483870968</c:v>
                </c:pt>
                <c:pt idx="92">
                  <c:v>38593.5483870968</c:v>
                </c:pt>
                <c:pt idx="93">
                  <c:v>38593.5483870968</c:v>
                </c:pt>
                <c:pt idx="94">
                  <c:v>38593.5483870968</c:v>
                </c:pt>
                <c:pt idx="95">
                  <c:v>38593.5483870968</c:v>
                </c:pt>
                <c:pt idx="96">
                  <c:v>38593.5483870968</c:v>
                </c:pt>
                <c:pt idx="97">
                  <c:v>38593.5483870968</c:v>
                </c:pt>
                <c:pt idx="98">
                  <c:v>38593.5483870968</c:v>
                </c:pt>
                <c:pt idx="99">
                  <c:v>38593.5483870968</c:v>
                </c:pt>
                <c:pt idx="100">
                  <c:v>38593.5483870968</c:v>
                </c:pt>
                <c:pt idx="101">
                  <c:v>38593.5483870968</c:v>
                </c:pt>
                <c:pt idx="102">
                  <c:v>38593.5483870968</c:v>
                </c:pt>
                <c:pt idx="103">
                  <c:v>38593.5483870968</c:v>
                </c:pt>
                <c:pt idx="104">
                  <c:v>38593.5483870968</c:v>
                </c:pt>
                <c:pt idx="105">
                  <c:v>38593.5483870968</c:v>
                </c:pt>
                <c:pt idx="106">
                  <c:v>38593.5483870968</c:v>
                </c:pt>
                <c:pt idx="107">
                  <c:v>38593.5483870968</c:v>
                </c:pt>
                <c:pt idx="108">
                  <c:v>38593.5483870968</c:v>
                </c:pt>
                <c:pt idx="109">
                  <c:v>38593.5483870968</c:v>
                </c:pt>
                <c:pt idx="110">
                  <c:v>38593.5483870968</c:v>
                </c:pt>
                <c:pt idx="111">
                  <c:v>38593.5483870968</c:v>
                </c:pt>
                <c:pt idx="112">
                  <c:v>38593.5483870968</c:v>
                </c:pt>
                <c:pt idx="113">
                  <c:v>38593.5483870968</c:v>
                </c:pt>
                <c:pt idx="114">
                  <c:v>38593.5483870968</c:v>
                </c:pt>
                <c:pt idx="115">
                  <c:v>38593.5483870968</c:v>
                </c:pt>
                <c:pt idx="116">
                  <c:v>38593.5483870968</c:v>
                </c:pt>
                <c:pt idx="117">
                  <c:v>38593.5483870968</c:v>
                </c:pt>
                <c:pt idx="118">
                  <c:v>38593.5483870968</c:v>
                </c:pt>
                <c:pt idx="119">
                  <c:v>38593.5483870968</c:v>
                </c:pt>
                <c:pt idx="120">
                  <c:v>38593.5483870968</c:v>
                </c:pt>
                <c:pt idx="121">
                  <c:v>38593.5483870968</c:v>
                </c:pt>
                <c:pt idx="122">
                  <c:v>38593.5483870968</c:v>
                </c:pt>
                <c:pt idx="123">
                  <c:v>38593.5483870968</c:v>
                </c:pt>
                <c:pt idx="124">
                  <c:v>38593.5483870968</c:v>
                </c:pt>
                <c:pt idx="125">
                  <c:v>38593.5483870968</c:v>
                </c:pt>
                <c:pt idx="126">
                  <c:v>38593.5483870968</c:v>
                </c:pt>
                <c:pt idx="127">
                  <c:v>38593.5483870968</c:v>
                </c:pt>
                <c:pt idx="128">
                  <c:v>38593.5483870968</c:v>
                </c:pt>
                <c:pt idx="129">
                  <c:v>38593.5483870968</c:v>
                </c:pt>
                <c:pt idx="130">
                  <c:v>38593.5483870968</c:v>
                </c:pt>
                <c:pt idx="131">
                  <c:v>38593.5483870968</c:v>
                </c:pt>
                <c:pt idx="132">
                  <c:v>38593.5483870968</c:v>
                </c:pt>
                <c:pt idx="133">
                  <c:v>38593.5483870968</c:v>
                </c:pt>
                <c:pt idx="134">
                  <c:v>38593.5483870968</c:v>
                </c:pt>
                <c:pt idx="135">
                  <c:v>38593.5483870968</c:v>
                </c:pt>
                <c:pt idx="136">
                  <c:v>38593.5483870968</c:v>
                </c:pt>
                <c:pt idx="137">
                  <c:v>38593.5483870968</c:v>
                </c:pt>
                <c:pt idx="138">
                  <c:v>38593.5483870968</c:v>
                </c:pt>
                <c:pt idx="139">
                  <c:v>38593.5483870968</c:v>
                </c:pt>
                <c:pt idx="140">
                  <c:v>38593.5483870968</c:v>
                </c:pt>
                <c:pt idx="141">
                  <c:v>38593.5483870968</c:v>
                </c:pt>
                <c:pt idx="142">
                  <c:v>38593.5483870968</c:v>
                </c:pt>
                <c:pt idx="143">
                  <c:v>38593.5483870968</c:v>
                </c:pt>
                <c:pt idx="144">
                  <c:v>38593.5483870968</c:v>
                </c:pt>
                <c:pt idx="145">
                  <c:v>38593.5483870968</c:v>
                </c:pt>
                <c:pt idx="146">
                  <c:v>38593.5483870968</c:v>
                </c:pt>
                <c:pt idx="147">
                  <c:v>38593.5483870968</c:v>
                </c:pt>
                <c:pt idx="148">
                  <c:v>38593.5483870968</c:v>
                </c:pt>
                <c:pt idx="149">
                  <c:v>38593.5483870968</c:v>
                </c:pt>
                <c:pt idx="150">
                  <c:v>38593.5483870968</c:v>
                </c:pt>
                <c:pt idx="151">
                  <c:v>38593.5483870968</c:v>
                </c:pt>
                <c:pt idx="152">
                  <c:v>38593.5483870968</c:v>
                </c:pt>
                <c:pt idx="153">
                  <c:v>38593.5483870968</c:v>
                </c:pt>
                <c:pt idx="154">
                  <c:v>38593.5483870968</c:v>
                </c:pt>
                <c:pt idx="155">
                  <c:v>38593.5483870968</c:v>
                </c:pt>
                <c:pt idx="156">
                  <c:v>38593.5483870968</c:v>
                </c:pt>
                <c:pt idx="157">
                  <c:v>38593.5483870968</c:v>
                </c:pt>
                <c:pt idx="158">
                  <c:v>38593.5483870968</c:v>
                </c:pt>
                <c:pt idx="159">
                  <c:v>38593.5483870968</c:v>
                </c:pt>
                <c:pt idx="160">
                  <c:v>38593.5483870968</c:v>
                </c:pt>
                <c:pt idx="161">
                  <c:v>38593.5483870968</c:v>
                </c:pt>
                <c:pt idx="162">
                  <c:v>38593.5483870968</c:v>
                </c:pt>
                <c:pt idx="163">
                  <c:v>38593.5483870968</c:v>
                </c:pt>
                <c:pt idx="164">
                  <c:v>38593.5483870968</c:v>
                </c:pt>
                <c:pt idx="165">
                  <c:v>38593.5483870968</c:v>
                </c:pt>
                <c:pt idx="166">
                  <c:v>38593.5483870968</c:v>
                </c:pt>
                <c:pt idx="167">
                  <c:v>38593.5483870968</c:v>
                </c:pt>
                <c:pt idx="168">
                  <c:v>38593.5483870968</c:v>
                </c:pt>
                <c:pt idx="169">
                  <c:v>38593.5483870968</c:v>
                </c:pt>
                <c:pt idx="170">
                  <c:v>38593.5483870968</c:v>
                </c:pt>
                <c:pt idx="171">
                  <c:v>38593.5483870968</c:v>
                </c:pt>
                <c:pt idx="172">
                  <c:v>38593.5483870968</c:v>
                </c:pt>
                <c:pt idx="173">
                  <c:v>38593.5483870968</c:v>
                </c:pt>
                <c:pt idx="174">
                  <c:v>38593.5483870968</c:v>
                </c:pt>
                <c:pt idx="175">
                  <c:v>38593.5483870968</c:v>
                </c:pt>
                <c:pt idx="176">
                  <c:v>38593.5483870968</c:v>
                </c:pt>
                <c:pt idx="177">
                  <c:v>38593.5483870968</c:v>
                </c:pt>
                <c:pt idx="178">
                  <c:v>38593.5483870968</c:v>
                </c:pt>
                <c:pt idx="179">
                  <c:v>38593.5483870968</c:v>
                </c:pt>
                <c:pt idx="180">
                  <c:v>38593.5483870968</c:v>
                </c:pt>
                <c:pt idx="181">
                  <c:v>38593.5483870968</c:v>
                </c:pt>
                <c:pt idx="182">
                  <c:v>38593.5483870968</c:v>
                </c:pt>
                <c:pt idx="183">
                  <c:v>38593.5483870968</c:v>
                </c:pt>
                <c:pt idx="184">
                  <c:v>38593.5483870968</c:v>
                </c:pt>
                <c:pt idx="185">
                  <c:v>38593.5483870968</c:v>
                </c:pt>
                <c:pt idx="186">
                  <c:v>38593.5483870968</c:v>
                </c:pt>
                <c:pt idx="187">
                  <c:v>38593.5483870968</c:v>
                </c:pt>
                <c:pt idx="188">
                  <c:v>38593.5483870968</c:v>
                </c:pt>
                <c:pt idx="189">
                  <c:v>38593.5483870968</c:v>
                </c:pt>
                <c:pt idx="190">
                  <c:v>38593.5483870968</c:v>
                </c:pt>
                <c:pt idx="191">
                  <c:v>38593.5483870968</c:v>
                </c:pt>
                <c:pt idx="192">
                  <c:v>38593.5483870968</c:v>
                </c:pt>
                <c:pt idx="193">
                  <c:v>38593.5483870968</c:v>
                </c:pt>
                <c:pt idx="194">
                  <c:v>38593.5483870968</c:v>
                </c:pt>
                <c:pt idx="195">
                  <c:v>38593.5483870968</c:v>
                </c:pt>
                <c:pt idx="196">
                  <c:v>38593.5483870968</c:v>
                </c:pt>
                <c:pt idx="197">
                  <c:v>38593.5483870968</c:v>
                </c:pt>
                <c:pt idx="198">
                  <c:v>38593.5483870968</c:v>
                </c:pt>
                <c:pt idx="199">
                  <c:v>38593.5483870968</c:v>
                </c:pt>
                <c:pt idx="200">
                  <c:v>38593.5483870968</c:v>
                </c:pt>
              </c:numCache>
            </c:numRef>
          </c:val>
        </c:ser>
        <c:ser>
          <c:idx val="1"/>
          <c:order val="1"/>
          <c:tx>
            <c:v>LH₂ carrier (boil-off × H₂ price + VLSFO)</c:v>
          </c:tx>
          <c:spPr>
            <a:ln w="31750">
              <a:solidFill>
                <a:srgbClr val="60269E"/>
              </a:solidFill>
            </a:ln>
          </c:spPr>
          <c:marker>
            <c:symbol val="none"/>
          </c:marker>
          <c:cat>
            <c:strRef>
              <c:f>Midstream!$H$222:$H$422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Midstream!$C$222:$C$422</c:f>
              <c:numCache>
                <c:formatCode>General</c:formatCode>
                <c:ptCount val="201"/>
                <c:pt idx="0">
                  <c:v>3506.9268292683</c:v>
                </c:pt>
                <c:pt idx="1">
                  <c:v>4073.3268292683</c:v>
                </c:pt>
                <c:pt idx="2">
                  <c:v>4639.7268292683</c:v>
                </c:pt>
                <c:pt idx="3">
                  <c:v>5206.1268292683</c:v>
                </c:pt>
                <c:pt idx="4">
                  <c:v>5772.5268292683</c:v>
                </c:pt>
                <c:pt idx="5">
                  <c:v>6338.9268292683</c:v>
                </c:pt>
                <c:pt idx="6">
                  <c:v>6905.3268292683</c:v>
                </c:pt>
                <c:pt idx="7">
                  <c:v>7471.7268292683</c:v>
                </c:pt>
                <c:pt idx="8">
                  <c:v>8038.1268292683</c:v>
                </c:pt>
                <c:pt idx="9">
                  <c:v>8604.5268292683</c:v>
                </c:pt>
                <c:pt idx="10">
                  <c:v>9170.9268292683</c:v>
                </c:pt>
                <c:pt idx="11">
                  <c:v>9737.3268292683</c:v>
                </c:pt>
                <c:pt idx="12">
                  <c:v>10303.7268292683</c:v>
                </c:pt>
                <c:pt idx="13">
                  <c:v>10870.1268292683</c:v>
                </c:pt>
                <c:pt idx="14">
                  <c:v>11436.5268292683</c:v>
                </c:pt>
                <c:pt idx="15">
                  <c:v>12002.9268292683</c:v>
                </c:pt>
                <c:pt idx="16">
                  <c:v>12569.3268292683</c:v>
                </c:pt>
                <c:pt idx="17">
                  <c:v>13135.7268292683</c:v>
                </c:pt>
                <c:pt idx="18">
                  <c:v>13702.1268292683</c:v>
                </c:pt>
                <c:pt idx="19">
                  <c:v>14268.5268292683</c:v>
                </c:pt>
                <c:pt idx="20">
                  <c:v>14834.9268292683</c:v>
                </c:pt>
                <c:pt idx="21">
                  <c:v>15401.3268292683</c:v>
                </c:pt>
                <c:pt idx="22">
                  <c:v>15967.7268292683</c:v>
                </c:pt>
                <c:pt idx="23">
                  <c:v>16534.1268292683</c:v>
                </c:pt>
                <c:pt idx="24">
                  <c:v>17100.5268292683</c:v>
                </c:pt>
                <c:pt idx="25">
                  <c:v>17666.9268292683</c:v>
                </c:pt>
                <c:pt idx="26">
                  <c:v>18233.3268292683</c:v>
                </c:pt>
                <c:pt idx="27">
                  <c:v>18799.7268292683</c:v>
                </c:pt>
                <c:pt idx="28">
                  <c:v>19366.1268292683</c:v>
                </c:pt>
                <c:pt idx="29">
                  <c:v>19932.5268292683</c:v>
                </c:pt>
                <c:pt idx="30">
                  <c:v>20498.9268292683</c:v>
                </c:pt>
                <c:pt idx="31">
                  <c:v>21065.3268292683</c:v>
                </c:pt>
                <c:pt idx="32">
                  <c:v>21631.7268292683</c:v>
                </c:pt>
                <c:pt idx="33">
                  <c:v>22198.1268292683</c:v>
                </c:pt>
                <c:pt idx="34">
                  <c:v>22764.5268292683</c:v>
                </c:pt>
                <c:pt idx="35">
                  <c:v>23330.9268292683</c:v>
                </c:pt>
                <c:pt idx="36">
                  <c:v>23897.3268292683</c:v>
                </c:pt>
                <c:pt idx="37">
                  <c:v>24463.7268292683</c:v>
                </c:pt>
                <c:pt idx="38">
                  <c:v>25030.1268292683</c:v>
                </c:pt>
                <c:pt idx="39">
                  <c:v>25596.5268292683</c:v>
                </c:pt>
                <c:pt idx="40">
                  <c:v>26162.9268292683</c:v>
                </c:pt>
                <c:pt idx="41">
                  <c:v>26729.3268292683</c:v>
                </c:pt>
                <c:pt idx="42">
                  <c:v>27295.7268292683</c:v>
                </c:pt>
                <c:pt idx="43">
                  <c:v>27862.1268292683</c:v>
                </c:pt>
                <c:pt idx="44">
                  <c:v>28428.5268292683</c:v>
                </c:pt>
                <c:pt idx="45">
                  <c:v>28994.9268292683</c:v>
                </c:pt>
                <c:pt idx="46">
                  <c:v>29561.3268292683</c:v>
                </c:pt>
                <c:pt idx="47">
                  <c:v>30127.7268292683</c:v>
                </c:pt>
                <c:pt idx="48">
                  <c:v>30694.1268292683</c:v>
                </c:pt>
                <c:pt idx="49">
                  <c:v>31260.5268292683</c:v>
                </c:pt>
                <c:pt idx="50">
                  <c:v>31826.9268292683</c:v>
                </c:pt>
                <c:pt idx="51">
                  <c:v>32393.3268292683</c:v>
                </c:pt>
                <c:pt idx="52">
                  <c:v>32959.7268292683</c:v>
                </c:pt>
                <c:pt idx="53">
                  <c:v>33526.1268292683</c:v>
                </c:pt>
                <c:pt idx="54">
                  <c:v>34092.5268292683</c:v>
                </c:pt>
                <c:pt idx="55">
                  <c:v>34658.9268292683</c:v>
                </c:pt>
                <c:pt idx="56">
                  <c:v>35225.3268292683</c:v>
                </c:pt>
                <c:pt idx="57">
                  <c:v>35791.7268292683</c:v>
                </c:pt>
                <c:pt idx="58">
                  <c:v>36358.1268292683</c:v>
                </c:pt>
                <c:pt idx="59">
                  <c:v>36924.5268292683</c:v>
                </c:pt>
                <c:pt idx="60">
                  <c:v>37490.9268292683</c:v>
                </c:pt>
                <c:pt idx="61">
                  <c:v>38057.3268292683</c:v>
                </c:pt>
                <c:pt idx="62">
                  <c:v>38623.7268292683</c:v>
                </c:pt>
                <c:pt idx="63">
                  <c:v>39190.1268292683</c:v>
                </c:pt>
                <c:pt idx="64">
                  <c:v>39756.5268292683</c:v>
                </c:pt>
                <c:pt idx="65">
                  <c:v>40322.9268292683</c:v>
                </c:pt>
                <c:pt idx="66">
                  <c:v>40889.3268292683</c:v>
                </c:pt>
                <c:pt idx="67">
                  <c:v>41455.7268292683</c:v>
                </c:pt>
                <c:pt idx="68">
                  <c:v>42022.1268292683</c:v>
                </c:pt>
                <c:pt idx="69">
                  <c:v>42588.5268292683</c:v>
                </c:pt>
                <c:pt idx="70">
                  <c:v>43154.9268292683</c:v>
                </c:pt>
                <c:pt idx="71">
                  <c:v>43721.3268292683</c:v>
                </c:pt>
                <c:pt idx="72">
                  <c:v>44287.7268292683</c:v>
                </c:pt>
                <c:pt idx="73">
                  <c:v>44854.1268292683</c:v>
                </c:pt>
                <c:pt idx="74">
                  <c:v>45420.5268292683</c:v>
                </c:pt>
                <c:pt idx="75">
                  <c:v>45986.9268292683</c:v>
                </c:pt>
                <c:pt idx="76">
                  <c:v>46553.3268292683</c:v>
                </c:pt>
                <c:pt idx="77">
                  <c:v>47119.7268292683</c:v>
                </c:pt>
                <c:pt idx="78">
                  <c:v>47686.1268292683</c:v>
                </c:pt>
                <c:pt idx="79">
                  <c:v>48252.5268292683</c:v>
                </c:pt>
                <c:pt idx="80">
                  <c:v>48818.9268292683</c:v>
                </c:pt>
                <c:pt idx="81">
                  <c:v>49385.3268292683</c:v>
                </c:pt>
                <c:pt idx="82">
                  <c:v>49951.7268292683</c:v>
                </c:pt>
                <c:pt idx="83">
                  <c:v>50518.1268292683</c:v>
                </c:pt>
                <c:pt idx="84">
                  <c:v>51084.5268292683</c:v>
                </c:pt>
                <c:pt idx="85">
                  <c:v>51650.9268292683</c:v>
                </c:pt>
                <c:pt idx="86">
                  <c:v>52217.3268292683</c:v>
                </c:pt>
                <c:pt idx="87">
                  <c:v>52783.7268292683</c:v>
                </c:pt>
                <c:pt idx="88">
                  <c:v>53350.1268292683</c:v>
                </c:pt>
                <c:pt idx="89">
                  <c:v>53916.5268292683</c:v>
                </c:pt>
                <c:pt idx="90">
                  <c:v>54482.9268292683</c:v>
                </c:pt>
                <c:pt idx="91">
                  <c:v>55049.3268292683</c:v>
                </c:pt>
                <c:pt idx="92">
                  <c:v>55615.7268292683</c:v>
                </c:pt>
                <c:pt idx="93">
                  <c:v>56182.1268292683</c:v>
                </c:pt>
                <c:pt idx="94">
                  <c:v>56748.5268292683</c:v>
                </c:pt>
                <c:pt idx="95">
                  <c:v>57314.9268292683</c:v>
                </c:pt>
                <c:pt idx="96">
                  <c:v>57881.3268292683</c:v>
                </c:pt>
                <c:pt idx="97">
                  <c:v>58447.7268292683</c:v>
                </c:pt>
                <c:pt idx="98">
                  <c:v>59014.1268292683</c:v>
                </c:pt>
                <c:pt idx="99">
                  <c:v>59580.5268292683</c:v>
                </c:pt>
                <c:pt idx="100">
                  <c:v>60146.9268292683</c:v>
                </c:pt>
                <c:pt idx="101">
                  <c:v>60713.3268292683</c:v>
                </c:pt>
                <c:pt idx="102">
                  <c:v>61279.7268292683</c:v>
                </c:pt>
                <c:pt idx="103">
                  <c:v>61846.1268292683</c:v>
                </c:pt>
                <c:pt idx="104">
                  <c:v>62412.5268292683</c:v>
                </c:pt>
                <c:pt idx="105">
                  <c:v>62978.9268292683</c:v>
                </c:pt>
                <c:pt idx="106">
                  <c:v>63545.3268292683</c:v>
                </c:pt>
                <c:pt idx="107">
                  <c:v>64111.7268292683</c:v>
                </c:pt>
                <c:pt idx="108">
                  <c:v>64678.1268292683</c:v>
                </c:pt>
                <c:pt idx="109">
                  <c:v>65244.5268292683</c:v>
                </c:pt>
                <c:pt idx="110">
                  <c:v>65810.9268292683</c:v>
                </c:pt>
                <c:pt idx="111">
                  <c:v>66377.3268292683</c:v>
                </c:pt>
                <c:pt idx="112">
                  <c:v>66943.7268292683</c:v>
                </c:pt>
                <c:pt idx="113">
                  <c:v>67510.1268292683</c:v>
                </c:pt>
                <c:pt idx="114">
                  <c:v>68076.5268292683</c:v>
                </c:pt>
                <c:pt idx="115">
                  <c:v>68642.9268292683</c:v>
                </c:pt>
                <c:pt idx="116">
                  <c:v>69209.3268292683</c:v>
                </c:pt>
                <c:pt idx="117">
                  <c:v>69775.7268292683</c:v>
                </c:pt>
                <c:pt idx="118">
                  <c:v>70342.1268292683</c:v>
                </c:pt>
                <c:pt idx="119">
                  <c:v>70908.5268292683</c:v>
                </c:pt>
                <c:pt idx="120">
                  <c:v>71474.9268292683</c:v>
                </c:pt>
                <c:pt idx="121">
                  <c:v>72041.3268292683</c:v>
                </c:pt>
                <c:pt idx="122">
                  <c:v>72607.7268292683</c:v>
                </c:pt>
                <c:pt idx="123">
                  <c:v>73174.1268292683</c:v>
                </c:pt>
                <c:pt idx="124">
                  <c:v>73740.5268292683</c:v>
                </c:pt>
                <c:pt idx="125">
                  <c:v>74306.9268292683</c:v>
                </c:pt>
                <c:pt idx="126">
                  <c:v>74873.3268292683</c:v>
                </c:pt>
                <c:pt idx="127">
                  <c:v>75439.7268292683</c:v>
                </c:pt>
                <c:pt idx="128">
                  <c:v>76006.1268292683</c:v>
                </c:pt>
                <c:pt idx="129">
                  <c:v>76572.5268292683</c:v>
                </c:pt>
                <c:pt idx="130">
                  <c:v>77138.9268292683</c:v>
                </c:pt>
                <c:pt idx="131">
                  <c:v>77705.3268292683</c:v>
                </c:pt>
                <c:pt idx="132">
                  <c:v>78271.7268292683</c:v>
                </c:pt>
                <c:pt idx="133">
                  <c:v>78838.1268292683</c:v>
                </c:pt>
                <c:pt idx="134">
                  <c:v>79404.5268292683</c:v>
                </c:pt>
                <c:pt idx="135">
                  <c:v>79970.9268292683</c:v>
                </c:pt>
                <c:pt idx="136">
                  <c:v>80537.3268292683</c:v>
                </c:pt>
                <c:pt idx="137">
                  <c:v>81103.7268292683</c:v>
                </c:pt>
                <c:pt idx="138">
                  <c:v>81670.1268292683</c:v>
                </c:pt>
                <c:pt idx="139">
                  <c:v>82236.5268292683</c:v>
                </c:pt>
                <c:pt idx="140">
                  <c:v>82802.9268292683</c:v>
                </c:pt>
                <c:pt idx="141">
                  <c:v>83369.3268292683</c:v>
                </c:pt>
                <c:pt idx="142">
                  <c:v>83935.7268292683</c:v>
                </c:pt>
                <c:pt idx="143">
                  <c:v>84502.1268292683</c:v>
                </c:pt>
                <c:pt idx="144">
                  <c:v>85068.5268292683</c:v>
                </c:pt>
                <c:pt idx="145">
                  <c:v>85634.9268292683</c:v>
                </c:pt>
                <c:pt idx="146">
                  <c:v>86201.3268292683</c:v>
                </c:pt>
                <c:pt idx="147">
                  <c:v>86767.7268292683</c:v>
                </c:pt>
                <c:pt idx="148">
                  <c:v>87334.1268292683</c:v>
                </c:pt>
                <c:pt idx="149">
                  <c:v>87900.5268292683</c:v>
                </c:pt>
                <c:pt idx="150">
                  <c:v>88466.9268292683</c:v>
                </c:pt>
                <c:pt idx="151">
                  <c:v>89033.3268292683</c:v>
                </c:pt>
                <c:pt idx="152">
                  <c:v>89599.7268292683</c:v>
                </c:pt>
                <c:pt idx="153">
                  <c:v>90166.1268292683</c:v>
                </c:pt>
                <c:pt idx="154">
                  <c:v>90732.5268292683</c:v>
                </c:pt>
                <c:pt idx="155">
                  <c:v>91298.9268292683</c:v>
                </c:pt>
                <c:pt idx="156">
                  <c:v>91865.3268292683</c:v>
                </c:pt>
                <c:pt idx="157">
                  <c:v>92431.7268292683</c:v>
                </c:pt>
                <c:pt idx="158">
                  <c:v>92998.1268292683</c:v>
                </c:pt>
                <c:pt idx="159">
                  <c:v>93564.5268292683</c:v>
                </c:pt>
                <c:pt idx="160">
                  <c:v>94130.9268292683</c:v>
                </c:pt>
                <c:pt idx="161">
                  <c:v>94697.3268292683</c:v>
                </c:pt>
                <c:pt idx="162">
                  <c:v>95263.7268292683</c:v>
                </c:pt>
                <c:pt idx="163">
                  <c:v>95830.1268292683</c:v>
                </c:pt>
                <c:pt idx="164">
                  <c:v>96396.5268292683</c:v>
                </c:pt>
                <c:pt idx="165">
                  <c:v>96962.9268292683</c:v>
                </c:pt>
                <c:pt idx="166">
                  <c:v>97529.3268292683</c:v>
                </c:pt>
                <c:pt idx="167">
                  <c:v>98095.7268292683</c:v>
                </c:pt>
                <c:pt idx="168">
                  <c:v>98662.1268292683</c:v>
                </c:pt>
                <c:pt idx="169">
                  <c:v>99228.5268292683</c:v>
                </c:pt>
                <c:pt idx="170">
                  <c:v>99794.9268292683</c:v>
                </c:pt>
                <c:pt idx="171">
                  <c:v>100361.326829268</c:v>
                </c:pt>
                <c:pt idx="172">
                  <c:v>100927.726829268</c:v>
                </c:pt>
                <c:pt idx="173">
                  <c:v>101494.126829268</c:v>
                </c:pt>
                <c:pt idx="174">
                  <c:v>102060.526829268</c:v>
                </c:pt>
                <c:pt idx="175">
                  <c:v>102626.926829268</c:v>
                </c:pt>
                <c:pt idx="176">
                  <c:v>103193.326829268</c:v>
                </c:pt>
                <c:pt idx="177">
                  <c:v>103759.726829268</c:v>
                </c:pt>
                <c:pt idx="178">
                  <c:v>104326.126829268</c:v>
                </c:pt>
                <c:pt idx="179">
                  <c:v>104892.526829268</c:v>
                </c:pt>
                <c:pt idx="180">
                  <c:v>105458.926829268</c:v>
                </c:pt>
                <c:pt idx="181">
                  <c:v>106025.326829268</c:v>
                </c:pt>
                <c:pt idx="182">
                  <c:v>106591.726829268</c:v>
                </c:pt>
                <c:pt idx="183">
                  <c:v>107158.126829268</c:v>
                </c:pt>
                <c:pt idx="184">
                  <c:v>107724.526829268</c:v>
                </c:pt>
                <c:pt idx="185">
                  <c:v>108290.926829268</c:v>
                </c:pt>
                <c:pt idx="186">
                  <c:v>108857.326829268</c:v>
                </c:pt>
                <c:pt idx="187">
                  <c:v>109423.726829268</c:v>
                </c:pt>
                <c:pt idx="188">
                  <c:v>109990.126829268</c:v>
                </c:pt>
                <c:pt idx="189">
                  <c:v>110556.526829268</c:v>
                </c:pt>
                <c:pt idx="190">
                  <c:v>111122.926829268</c:v>
                </c:pt>
                <c:pt idx="191">
                  <c:v>111689.326829268</c:v>
                </c:pt>
                <c:pt idx="192">
                  <c:v>112255.726829268</c:v>
                </c:pt>
                <c:pt idx="193">
                  <c:v>112822.126829268</c:v>
                </c:pt>
                <c:pt idx="194">
                  <c:v>113388.526829268</c:v>
                </c:pt>
                <c:pt idx="195">
                  <c:v>113954.926829268</c:v>
                </c:pt>
                <c:pt idx="196">
                  <c:v>114521.326829268</c:v>
                </c:pt>
                <c:pt idx="197">
                  <c:v>115087.726829268</c:v>
                </c:pt>
                <c:pt idx="198">
                  <c:v>115654.126829268</c:v>
                </c:pt>
                <c:pt idx="199">
                  <c:v>116220.526829268</c:v>
                </c:pt>
                <c:pt idx="200">
                  <c:v>116786.926829268</c:v>
                </c:pt>
              </c:numCache>
            </c:numRef>
          </c:val>
        </c:ser>
        <c:ser>
          <c:idx val="2"/>
          <c:order val="2"/>
          <c:tx>
            <c:strRef>
              <c:f>'Midstream'!$B$72</c:f>
              <c:strCache>
                <c:ptCount val="1"/>
                <c:pt idx="0">
                  <c:v>H2 price USD 4.00/kg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0269E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t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60269E"/>
                </a:solidFill>
                <a:prstDash val="sysDot"/>
              </a:ln>
            </c:spPr>
          </c:errBars>
          <c:cat>
            <c:strRef>
              <c:f>Midstream!$H$222:$H$422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Midstream!$E$222:$E$422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48818.9268292683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3"/>
          <c:order val="3"/>
          <c:tx>
            <c:strRef>
              <c:f>'Midstream'!$B$71</c:f>
              <c:strCache>
                <c:ptCount val="1"/>
                <c:pt idx="0">
                  <c:v>Breakeven USD 3.10/kg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1F2933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b"/>
            <c:showSerName val="1"/>
          </c:dLbls>
          <c:cat>
            <c:strRef>
              <c:f>Midstream!$H$222:$H$422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Midstream!$F$222:$F$422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38593.5483870968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4"/>
          <c:order val="4"/>
          <c:tx>
            <c:strRef>
              <c:f>'Midstream'!$B$70</c:f>
              <c:strCache>
                <c:ptCount val="1"/>
                <c:pt idx="0">
                  <c:v>H2 = VLSFO per GJ at USD 1.76/kg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rgbClr val="65758B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65758B"/>
                </a:solidFill>
                <a:prstDash val="dash"/>
              </a:ln>
            </c:spPr>
          </c:errBars>
          <c:cat>
            <c:strRef>
              <c:f>Midstream!$H$222:$H$422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Midstream!$G$222:$G$422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116786.926829268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H₂ price, USD/kg</a:t>
                </a:r>
              </a:p>
            </c:rich>
          </c:tx>
          <c:layout/>
        </c:title>
        <c:numFmt formatCode="0" sourceLinked="0"/>
        <c:majorTickMark val="out"/>
        <c:tickLblPos val="low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tickLblSkip val="1"/>
        <c:tickMarkSkip val="2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Fuel cost, USD k/day</a:t>
                </a:r>
              </a:p>
            </c:rich>
          </c:tx>
          <c:layout/>
        </c:title>
        <c:numFmt formatCode="#,##0,&quot;k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'Midstream'!$B$74</c:f>
          <c:strCache>
            <c:ptCount val="1"/>
            <c:pt idx="0">
              <c:v>Breakeven H2 price vs NH3 fuel price (per ship-day and per tonne H2 carried)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Breakeven, per ship-day</c:v>
          </c:tx>
          <c:spPr>
            <a:ln w="31750">
              <a:solidFill>
                <a:srgbClr val="60269E"/>
              </a:solidFill>
            </a:ln>
          </c:spPr>
          <c:marker>
            <c:symbol val="none"/>
          </c:marker>
          <c:cat>
            <c:strRef>
              <c:f>Midstream!$H$427:$H$527</c:f>
              <c:strCache>
                <c:ptCount val="101"/>
                <c:pt idx="0">
                  <c:v>200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300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400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>500</c:v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>700</c:v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800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>900</c:v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1000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>1100</c:v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1200</c:v>
                </c:pt>
              </c:strCache>
            </c:strRef>
          </c:cat>
          <c:val>
            <c:numRef>
              <c:f>Midstream!$C$427:$C$527</c:f>
              <c:numCache>
                <c:formatCode>General</c:formatCode>
                <c:ptCount val="101"/>
                <c:pt idx="0">
                  <c:v>0.87902447914583</c:v>
                </c:pt>
                <c:pt idx="1">
                  <c:v>0.934482265732307</c:v>
                </c:pt>
                <c:pt idx="2">
                  <c:v>0.989940052318784</c:v>
                </c:pt>
                <c:pt idx="3">
                  <c:v>1.04539783890526</c:v>
                </c:pt>
                <c:pt idx="4">
                  <c:v>1.10085562549174</c:v>
                </c:pt>
                <c:pt idx="5">
                  <c:v>1.15631341207822</c:v>
                </c:pt>
                <c:pt idx="6">
                  <c:v>1.21177119866469</c:v>
                </c:pt>
                <c:pt idx="7">
                  <c:v>1.26722898525117</c:v>
                </c:pt>
                <c:pt idx="8">
                  <c:v>1.32268677183765</c:v>
                </c:pt>
                <c:pt idx="9">
                  <c:v>1.37814455842412</c:v>
                </c:pt>
                <c:pt idx="10">
                  <c:v>1.4336023450106</c:v>
                </c:pt>
                <c:pt idx="11">
                  <c:v>1.48906013159708</c:v>
                </c:pt>
                <c:pt idx="12">
                  <c:v>1.54451791818356</c:v>
                </c:pt>
                <c:pt idx="13">
                  <c:v>1.59997570477003</c:v>
                </c:pt>
                <c:pt idx="14">
                  <c:v>1.65543349135651</c:v>
                </c:pt>
                <c:pt idx="15">
                  <c:v>1.71089127794299</c:v>
                </c:pt>
                <c:pt idx="16">
                  <c:v>1.76634906452946</c:v>
                </c:pt>
                <c:pt idx="17">
                  <c:v>1.82180685111594</c:v>
                </c:pt>
                <c:pt idx="18">
                  <c:v>1.87726463770242</c:v>
                </c:pt>
                <c:pt idx="19">
                  <c:v>1.9327224242889</c:v>
                </c:pt>
                <c:pt idx="20">
                  <c:v>1.98818021087537</c:v>
                </c:pt>
                <c:pt idx="21">
                  <c:v>2.04363799746185</c:v>
                </c:pt>
                <c:pt idx="22">
                  <c:v>2.09909578404833</c:v>
                </c:pt>
                <c:pt idx="23">
                  <c:v>2.1545535706348</c:v>
                </c:pt>
                <c:pt idx="24">
                  <c:v>2.21001135722128</c:v>
                </c:pt>
                <c:pt idx="25">
                  <c:v>2.26546914380776</c:v>
                </c:pt>
                <c:pt idx="26">
                  <c:v>2.32092693039424</c:v>
                </c:pt>
                <c:pt idx="27">
                  <c:v>2.37638471698071</c:v>
                </c:pt>
                <c:pt idx="28">
                  <c:v>2.43184250356719</c:v>
                </c:pt>
                <c:pt idx="29">
                  <c:v>2.48730029015367</c:v>
                </c:pt>
                <c:pt idx="30">
                  <c:v>2.54275807674014</c:v>
                </c:pt>
                <c:pt idx="31">
                  <c:v>2.59821586332662</c:v>
                </c:pt>
                <c:pt idx="32">
                  <c:v>2.6536736499131</c:v>
                </c:pt>
                <c:pt idx="33">
                  <c:v>2.70913143649958</c:v>
                </c:pt>
                <c:pt idx="34">
                  <c:v>2.76458922308605</c:v>
                </c:pt>
                <c:pt idx="35">
                  <c:v>2.82004700967253</c:v>
                </c:pt>
                <c:pt idx="36">
                  <c:v>2.87550479625901</c:v>
                </c:pt>
                <c:pt idx="37">
                  <c:v>2.93096258284548</c:v>
                </c:pt>
                <c:pt idx="38">
                  <c:v>2.98642036943196</c:v>
                </c:pt>
                <c:pt idx="39">
                  <c:v>3.04187815601844</c:v>
                </c:pt>
                <c:pt idx="40">
                  <c:v>3.09733594260491</c:v>
                </c:pt>
                <c:pt idx="41">
                  <c:v>3.15279372919139</c:v>
                </c:pt>
                <c:pt idx="42">
                  <c:v>3.20825151577787</c:v>
                </c:pt>
                <c:pt idx="43">
                  <c:v>3.26370930236435</c:v>
                </c:pt>
                <c:pt idx="44">
                  <c:v>3.31916708895082</c:v>
                </c:pt>
                <c:pt idx="45">
                  <c:v>3.3746248755373</c:v>
                </c:pt>
                <c:pt idx="46">
                  <c:v>3.43008266212378</c:v>
                </c:pt>
                <c:pt idx="47">
                  <c:v>3.48554044871025</c:v>
                </c:pt>
                <c:pt idx="48">
                  <c:v>3.54099823529673</c:v>
                </c:pt>
                <c:pt idx="49">
                  <c:v>3.59645602188321</c:v>
                </c:pt>
                <c:pt idx="50">
                  <c:v>3.65191380846969</c:v>
                </c:pt>
                <c:pt idx="51">
                  <c:v>3.70737159505616</c:v>
                </c:pt>
                <c:pt idx="52">
                  <c:v>3.76282938164264</c:v>
                </c:pt>
                <c:pt idx="53">
                  <c:v>3.81828716822912</c:v>
                </c:pt>
                <c:pt idx="54">
                  <c:v>3.8737449548156</c:v>
                </c:pt>
                <c:pt idx="55">
                  <c:v>3.92920274140207</c:v>
                </c:pt>
                <c:pt idx="56">
                  <c:v>3.98466052798855</c:v>
                </c:pt>
                <c:pt idx="57">
                  <c:v>4.04011831457503</c:v>
                </c:pt>
                <c:pt idx="58">
                  <c:v>4.0955761011615</c:v>
                </c:pt>
                <c:pt idx="59">
                  <c:v>4.15103388774798</c:v>
                </c:pt>
                <c:pt idx="60">
                  <c:v>4.20649167433446</c:v>
                </c:pt>
                <c:pt idx="61">
                  <c:v>4.26194946092094</c:v>
                </c:pt>
                <c:pt idx="62">
                  <c:v>4.31740724750741</c:v>
                </c:pt>
                <c:pt idx="63">
                  <c:v>4.37286503409389</c:v>
                </c:pt>
                <c:pt idx="64">
                  <c:v>4.42832282068037</c:v>
                </c:pt>
                <c:pt idx="65">
                  <c:v>4.48378060726684</c:v>
                </c:pt>
                <c:pt idx="66">
                  <c:v>4.53923839385332</c:v>
                </c:pt>
                <c:pt idx="67">
                  <c:v>4.5946961804398</c:v>
                </c:pt>
                <c:pt idx="68">
                  <c:v>4.65015396702628</c:v>
                </c:pt>
                <c:pt idx="69">
                  <c:v>4.70561175361275</c:v>
                </c:pt>
                <c:pt idx="70">
                  <c:v>4.76106954019923</c:v>
                </c:pt>
                <c:pt idx="71">
                  <c:v>4.81652732678571</c:v>
                </c:pt>
                <c:pt idx="72">
                  <c:v>4.87198511337218</c:v>
                </c:pt>
                <c:pt idx="73">
                  <c:v>4.92744289995866</c:v>
                </c:pt>
                <c:pt idx="74">
                  <c:v>4.98290068654514</c:v>
                </c:pt>
                <c:pt idx="75">
                  <c:v>5.03835847313161</c:v>
                </c:pt>
                <c:pt idx="76">
                  <c:v>5.09381625971809</c:v>
                </c:pt>
                <c:pt idx="77">
                  <c:v>5.14927404630457</c:v>
                </c:pt>
                <c:pt idx="78">
                  <c:v>5.20473183289105</c:v>
                </c:pt>
                <c:pt idx="79">
                  <c:v>5.26018961947752</c:v>
                </c:pt>
                <c:pt idx="80">
                  <c:v>5.315647406064</c:v>
                </c:pt>
                <c:pt idx="81">
                  <c:v>5.37110519265048</c:v>
                </c:pt>
                <c:pt idx="82">
                  <c:v>5.42656297923695</c:v>
                </c:pt>
                <c:pt idx="83">
                  <c:v>5.48202076582343</c:v>
                </c:pt>
                <c:pt idx="84">
                  <c:v>5.53747855240991</c:v>
                </c:pt>
                <c:pt idx="85">
                  <c:v>5.59293633899639</c:v>
                </c:pt>
                <c:pt idx="86">
                  <c:v>5.64839412558286</c:v>
                </c:pt>
                <c:pt idx="87">
                  <c:v>5.70385191216934</c:v>
                </c:pt>
                <c:pt idx="88">
                  <c:v>5.75930969875582</c:v>
                </c:pt>
                <c:pt idx="89">
                  <c:v>5.81476748534229</c:v>
                </c:pt>
                <c:pt idx="90">
                  <c:v>5.87022527192877</c:v>
                </c:pt>
                <c:pt idx="91">
                  <c:v>5.92568305851525</c:v>
                </c:pt>
                <c:pt idx="92">
                  <c:v>5.98114084510172</c:v>
                </c:pt>
                <c:pt idx="93">
                  <c:v>6.0365986316882</c:v>
                </c:pt>
                <c:pt idx="94">
                  <c:v>6.09205641827468</c:v>
                </c:pt>
                <c:pt idx="95">
                  <c:v>6.14751420486116</c:v>
                </c:pt>
                <c:pt idx="96">
                  <c:v>6.20297199144763</c:v>
                </c:pt>
                <c:pt idx="97">
                  <c:v>6.25842977803411</c:v>
                </c:pt>
                <c:pt idx="98">
                  <c:v>6.31388756462059</c:v>
                </c:pt>
                <c:pt idx="99">
                  <c:v>6.36934535120707</c:v>
                </c:pt>
                <c:pt idx="100">
                  <c:v>6.42480313779354</c:v>
                </c:pt>
              </c:numCache>
            </c:numRef>
          </c:val>
        </c:ser>
        <c:ser>
          <c:idx val="1"/>
          <c:order val="1"/>
          <c:tx>
            <c:v>Breakeven, per tonne H₂ carried</c:v>
          </c:tx>
          <c:spPr>
            <a:ln w="25400">
              <a:solidFill>
                <a:srgbClr val="60269E"/>
              </a:solidFill>
              <a:prstDash val="dash"/>
            </a:ln>
          </c:spPr>
          <c:marker>
            <c:symbol val="none"/>
          </c:marker>
          <c:cat>
            <c:strRef>
              <c:f>Midstream!$H$427:$H$527</c:f>
              <c:strCache>
                <c:ptCount val="101"/>
                <c:pt idx="0">
                  <c:v>200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300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400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>500</c:v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>700</c:v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800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>900</c:v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1000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>1100</c:v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1200</c:v>
                </c:pt>
              </c:strCache>
            </c:strRef>
          </c:cat>
          <c:val>
            <c:numRef>
              <c:f>Midstream!$D$427:$D$527</c:f>
              <c:numCache>
                <c:formatCode>General</c:formatCode>
                <c:ptCount val="101"/>
                <c:pt idx="0">
                  <c:v>0.385584815694629</c:v>
                </c:pt>
                <c:pt idx="1">
                  <c:v>0.418019752626789</c:v>
                </c:pt>
                <c:pt idx="2">
                  <c:v>0.450454689558948</c:v>
                </c:pt>
                <c:pt idx="3">
                  <c:v>0.482889626491108</c:v>
                </c:pt>
                <c:pt idx="4">
                  <c:v>0.515324563423268</c:v>
                </c:pt>
                <c:pt idx="5">
                  <c:v>0.547759500355427</c:v>
                </c:pt>
                <c:pt idx="6">
                  <c:v>0.580194437287587</c:v>
                </c:pt>
                <c:pt idx="7">
                  <c:v>0.612629374219746</c:v>
                </c:pt>
                <c:pt idx="8">
                  <c:v>0.645064311151906</c:v>
                </c:pt>
                <c:pt idx="9">
                  <c:v>0.677499248084065</c:v>
                </c:pt>
                <c:pt idx="10">
                  <c:v>0.709934185016225</c:v>
                </c:pt>
                <c:pt idx="11">
                  <c:v>0.742369121948385</c:v>
                </c:pt>
                <c:pt idx="12">
                  <c:v>0.774804058880544</c:v>
                </c:pt>
                <c:pt idx="13">
                  <c:v>0.807238995812704</c:v>
                </c:pt>
                <c:pt idx="14">
                  <c:v>0.839673932744863</c:v>
                </c:pt>
                <c:pt idx="15">
                  <c:v>0.872108869677023</c:v>
                </c:pt>
                <c:pt idx="16">
                  <c:v>0.904543806609183</c:v>
                </c:pt>
                <c:pt idx="17">
                  <c:v>0.936978743541342</c:v>
                </c:pt>
                <c:pt idx="18">
                  <c:v>0.969413680473502</c:v>
                </c:pt>
                <c:pt idx="19">
                  <c:v>1.00184861740566</c:v>
                </c:pt>
                <c:pt idx="20">
                  <c:v>1.03428355433782</c:v>
                </c:pt>
                <c:pt idx="21">
                  <c:v>1.06671849126998</c:v>
                </c:pt>
                <c:pt idx="22">
                  <c:v>1.09915342820214</c:v>
                </c:pt>
                <c:pt idx="23">
                  <c:v>1.1315883651343</c:v>
                </c:pt>
                <c:pt idx="24">
                  <c:v>1.16402330206646</c:v>
                </c:pt>
                <c:pt idx="25">
                  <c:v>1.19645823899862</c:v>
                </c:pt>
                <c:pt idx="26">
                  <c:v>1.22889317593078</c:v>
                </c:pt>
                <c:pt idx="27">
                  <c:v>1.26132811286294</c:v>
                </c:pt>
                <c:pt idx="28">
                  <c:v>1.2937630497951</c:v>
                </c:pt>
                <c:pt idx="29">
                  <c:v>1.32619798672726</c:v>
                </c:pt>
                <c:pt idx="30">
                  <c:v>1.35863292365942</c:v>
                </c:pt>
                <c:pt idx="31">
                  <c:v>1.39106786059158</c:v>
                </c:pt>
                <c:pt idx="32">
                  <c:v>1.42350279752374</c:v>
                </c:pt>
                <c:pt idx="33">
                  <c:v>1.4559377344559</c:v>
                </c:pt>
                <c:pt idx="34">
                  <c:v>1.48837267138806</c:v>
                </c:pt>
                <c:pt idx="35">
                  <c:v>1.52080760832022</c:v>
                </c:pt>
                <c:pt idx="36">
                  <c:v>1.55324254525237</c:v>
                </c:pt>
                <c:pt idx="37">
                  <c:v>1.58567748218453</c:v>
                </c:pt>
                <c:pt idx="38">
                  <c:v>1.61811241911669</c:v>
                </c:pt>
                <c:pt idx="39">
                  <c:v>1.65054735604885</c:v>
                </c:pt>
                <c:pt idx="40">
                  <c:v>1.68298229298101</c:v>
                </c:pt>
                <c:pt idx="41">
                  <c:v>1.71541722991317</c:v>
                </c:pt>
                <c:pt idx="42">
                  <c:v>1.74785216684533</c:v>
                </c:pt>
                <c:pt idx="43">
                  <c:v>1.78028710377749</c:v>
                </c:pt>
                <c:pt idx="44">
                  <c:v>1.81272204070965</c:v>
                </c:pt>
                <c:pt idx="45">
                  <c:v>1.84515697764181</c:v>
                </c:pt>
                <c:pt idx="46">
                  <c:v>1.87759191457397</c:v>
                </c:pt>
                <c:pt idx="47">
                  <c:v>1.91002685150613</c:v>
                </c:pt>
                <c:pt idx="48">
                  <c:v>1.94246178843829</c:v>
                </c:pt>
                <c:pt idx="49">
                  <c:v>1.97489672537045</c:v>
                </c:pt>
                <c:pt idx="50">
                  <c:v>2.00733166230261</c:v>
                </c:pt>
                <c:pt idx="51">
                  <c:v>2.03976659923477</c:v>
                </c:pt>
                <c:pt idx="52">
                  <c:v>2.07220153616693</c:v>
                </c:pt>
                <c:pt idx="53">
                  <c:v>2.10463647309909</c:v>
                </c:pt>
                <c:pt idx="54">
                  <c:v>2.13707141003125</c:v>
                </c:pt>
                <c:pt idx="55">
                  <c:v>2.16950634696341</c:v>
                </c:pt>
                <c:pt idx="56">
                  <c:v>2.20194128389557</c:v>
                </c:pt>
                <c:pt idx="57">
                  <c:v>2.23437622082773</c:v>
                </c:pt>
                <c:pt idx="58">
                  <c:v>2.26681115775989</c:v>
                </c:pt>
                <c:pt idx="59">
                  <c:v>2.29924609469205</c:v>
                </c:pt>
                <c:pt idx="60">
                  <c:v>2.33168103162421</c:v>
                </c:pt>
                <c:pt idx="61">
                  <c:v>2.36411596855637</c:v>
                </c:pt>
                <c:pt idx="62">
                  <c:v>2.39655090548852</c:v>
                </c:pt>
                <c:pt idx="63">
                  <c:v>2.42898584242068</c:v>
                </c:pt>
                <c:pt idx="64">
                  <c:v>2.46142077935284</c:v>
                </c:pt>
                <c:pt idx="65">
                  <c:v>2.493855716285</c:v>
                </c:pt>
                <c:pt idx="66">
                  <c:v>2.52629065321716</c:v>
                </c:pt>
                <c:pt idx="67">
                  <c:v>2.55872559014932</c:v>
                </c:pt>
                <c:pt idx="68">
                  <c:v>2.59116052708148</c:v>
                </c:pt>
                <c:pt idx="69">
                  <c:v>2.62359546401364</c:v>
                </c:pt>
                <c:pt idx="70">
                  <c:v>2.6560304009458</c:v>
                </c:pt>
                <c:pt idx="71">
                  <c:v>2.68846533787796</c:v>
                </c:pt>
                <c:pt idx="72">
                  <c:v>2.72090027481012</c:v>
                </c:pt>
                <c:pt idx="73">
                  <c:v>2.75333521174228</c:v>
                </c:pt>
                <c:pt idx="74">
                  <c:v>2.78577014867444</c:v>
                </c:pt>
                <c:pt idx="75">
                  <c:v>2.8182050856066</c:v>
                </c:pt>
                <c:pt idx="76">
                  <c:v>2.85064002253876</c:v>
                </c:pt>
                <c:pt idx="77">
                  <c:v>2.88307495947092</c:v>
                </c:pt>
                <c:pt idx="78">
                  <c:v>2.91550989640308</c:v>
                </c:pt>
                <c:pt idx="79">
                  <c:v>2.94794483333524</c:v>
                </c:pt>
                <c:pt idx="80">
                  <c:v>2.9803797702674</c:v>
                </c:pt>
                <c:pt idx="81">
                  <c:v>3.01281470719956</c:v>
                </c:pt>
                <c:pt idx="82">
                  <c:v>3.04524964413172</c:v>
                </c:pt>
                <c:pt idx="83">
                  <c:v>3.07768458106388</c:v>
                </c:pt>
                <c:pt idx="84">
                  <c:v>3.11011951799604</c:v>
                </c:pt>
                <c:pt idx="85">
                  <c:v>3.14255445492819</c:v>
                </c:pt>
                <c:pt idx="86">
                  <c:v>3.17498939186036</c:v>
                </c:pt>
                <c:pt idx="87">
                  <c:v>3.20742432879251</c:v>
                </c:pt>
                <c:pt idx="88">
                  <c:v>3.23985926572467</c:v>
                </c:pt>
                <c:pt idx="89">
                  <c:v>3.27229420265683</c:v>
                </c:pt>
                <c:pt idx="90">
                  <c:v>3.30472913958899</c:v>
                </c:pt>
                <c:pt idx="91">
                  <c:v>3.33716407652115</c:v>
                </c:pt>
                <c:pt idx="92">
                  <c:v>3.36959901345331</c:v>
                </c:pt>
                <c:pt idx="93">
                  <c:v>3.40203395038547</c:v>
                </c:pt>
                <c:pt idx="94">
                  <c:v>3.43446888731763</c:v>
                </c:pt>
                <c:pt idx="95">
                  <c:v>3.46690382424979</c:v>
                </c:pt>
                <c:pt idx="96">
                  <c:v>3.49933876118195</c:v>
                </c:pt>
                <c:pt idx="97">
                  <c:v>3.53177369811411</c:v>
                </c:pt>
                <c:pt idx="98">
                  <c:v>3.56420863504627</c:v>
                </c:pt>
                <c:pt idx="99">
                  <c:v>3.59664357197843</c:v>
                </c:pt>
                <c:pt idx="100">
                  <c:v>3.62907850891059</c:v>
                </c:pt>
              </c:numCache>
            </c:numRef>
          </c:val>
        </c:ser>
        <c:ser>
          <c:idx val="2"/>
          <c:order val="2"/>
          <c:tx>
            <c:v>H₂ = VLSFO per GJ (forced boil-off threshold)</c:v>
          </c:tx>
          <c:spPr>
            <a:ln w="19050">
              <a:solidFill>
                <a:srgbClr val="65758B"/>
              </a:solidFill>
              <a:prstDash val="sysDot"/>
            </a:ln>
          </c:spPr>
          <c:marker>
            <c:symbol val="none"/>
          </c:marker>
          <c:cat>
            <c:strRef>
              <c:f>Midstream!$H$427:$H$527</c:f>
              <c:strCache>
                <c:ptCount val="101"/>
                <c:pt idx="0">
                  <c:v>200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300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400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>500</c:v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>700</c:v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800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>900</c:v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1000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>1100</c:v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1200</c:v>
                </c:pt>
              </c:strCache>
            </c:strRef>
          </c:cat>
          <c:val>
            <c:numRef>
              <c:f>Midstream!$E$427:$E$527</c:f>
              <c:numCache>
                <c:formatCode>General</c:formatCode>
                <c:ptCount val="101"/>
                <c:pt idx="0">
                  <c:v>1.75609756097561</c:v>
                </c:pt>
                <c:pt idx="1">
                  <c:v>1.75609756097561</c:v>
                </c:pt>
                <c:pt idx="2">
                  <c:v>1.75609756097561</c:v>
                </c:pt>
                <c:pt idx="3">
                  <c:v>1.75609756097561</c:v>
                </c:pt>
                <c:pt idx="4">
                  <c:v>1.75609756097561</c:v>
                </c:pt>
                <c:pt idx="5">
                  <c:v>1.75609756097561</c:v>
                </c:pt>
                <c:pt idx="6">
                  <c:v>1.75609756097561</c:v>
                </c:pt>
                <c:pt idx="7">
                  <c:v>1.75609756097561</c:v>
                </c:pt>
                <c:pt idx="8">
                  <c:v>1.75609756097561</c:v>
                </c:pt>
                <c:pt idx="9">
                  <c:v>1.75609756097561</c:v>
                </c:pt>
                <c:pt idx="10">
                  <c:v>1.75609756097561</c:v>
                </c:pt>
                <c:pt idx="11">
                  <c:v>1.75609756097561</c:v>
                </c:pt>
                <c:pt idx="12">
                  <c:v>1.75609756097561</c:v>
                </c:pt>
                <c:pt idx="13">
                  <c:v>1.75609756097561</c:v>
                </c:pt>
                <c:pt idx="14">
                  <c:v>1.75609756097561</c:v>
                </c:pt>
                <c:pt idx="15">
                  <c:v>1.75609756097561</c:v>
                </c:pt>
                <c:pt idx="16">
                  <c:v>1.75609756097561</c:v>
                </c:pt>
                <c:pt idx="17">
                  <c:v>1.75609756097561</c:v>
                </c:pt>
                <c:pt idx="18">
                  <c:v>1.75609756097561</c:v>
                </c:pt>
                <c:pt idx="19">
                  <c:v>1.75609756097561</c:v>
                </c:pt>
                <c:pt idx="20">
                  <c:v>1.75609756097561</c:v>
                </c:pt>
                <c:pt idx="21">
                  <c:v>1.75609756097561</c:v>
                </c:pt>
                <c:pt idx="22">
                  <c:v>1.75609756097561</c:v>
                </c:pt>
                <c:pt idx="23">
                  <c:v>1.75609756097561</c:v>
                </c:pt>
                <c:pt idx="24">
                  <c:v>1.75609756097561</c:v>
                </c:pt>
                <c:pt idx="25">
                  <c:v>1.75609756097561</c:v>
                </c:pt>
                <c:pt idx="26">
                  <c:v>1.75609756097561</c:v>
                </c:pt>
                <c:pt idx="27">
                  <c:v>1.75609756097561</c:v>
                </c:pt>
                <c:pt idx="28">
                  <c:v>1.75609756097561</c:v>
                </c:pt>
                <c:pt idx="29">
                  <c:v>1.75609756097561</c:v>
                </c:pt>
                <c:pt idx="30">
                  <c:v>1.75609756097561</c:v>
                </c:pt>
                <c:pt idx="31">
                  <c:v>1.75609756097561</c:v>
                </c:pt>
                <c:pt idx="32">
                  <c:v>1.75609756097561</c:v>
                </c:pt>
                <c:pt idx="33">
                  <c:v>1.75609756097561</c:v>
                </c:pt>
                <c:pt idx="34">
                  <c:v>1.75609756097561</c:v>
                </c:pt>
                <c:pt idx="35">
                  <c:v>1.75609756097561</c:v>
                </c:pt>
                <c:pt idx="36">
                  <c:v>1.75609756097561</c:v>
                </c:pt>
                <c:pt idx="37">
                  <c:v>1.75609756097561</c:v>
                </c:pt>
                <c:pt idx="38">
                  <c:v>1.75609756097561</c:v>
                </c:pt>
                <c:pt idx="39">
                  <c:v>1.75609756097561</c:v>
                </c:pt>
                <c:pt idx="40">
                  <c:v>1.75609756097561</c:v>
                </c:pt>
                <c:pt idx="41">
                  <c:v>1.75609756097561</c:v>
                </c:pt>
                <c:pt idx="42">
                  <c:v>1.75609756097561</c:v>
                </c:pt>
                <c:pt idx="43">
                  <c:v>1.75609756097561</c:v>
                </c:pt>
                <c:pt idx="44">
                  <c:v>1.75609756097561</c:v>
                </c:pt>
                <c:pt idx="45">
                  <c:v>1.75609756097561</c:v>
                </c:pt>
                <c:pt idx="46">
                  <c:v>1.75609756097561</c:v>
                </c:pt>
                <c:pt idx="47">
                  <c:v>1.75609756097561</c:v>
                </c:pt>
                <c:pt idx="48">
                  <c:v>1.75609756097561</c:v>
                </c:pt>
                <c:pt idx="49">
                  <c:v>1.75609756097561</c:v>
                </c:pt>
                <c:pt idx="50">
                  <c:v>1.75609756097561</c:v>
                </c:pt>
                <c:pt idx="51">
                  <c:v>1.75609756097561</c:v>
                </c:pt>
                <c:pt idx="52">
                  <c:v>1.75609756097561</c:v>
                </c:pt>
                <c:pt idx="53">
                  <c:v>1.75609756097561</c:v>
                </c:pt>
                <c:pt idx="54">
                  <c:v>1.75609756097561</c:v>
                </c:pt>
                <c:pt idx="55">
                  <c:v>1.75609756097561</c:v>
                </c:pt>
                <c:pt idx="56">
                  <c:v>1.75609756097561</c:v>
                </c:pt>
                <c:pt idx="57">
                  <c:v>1.75609756097561</c:v>
                </c:pt>
                <c:pt idx="58">
                  <c:v>1.75609756097561</c:v>
                </c:pt>
                <c:pt idx="59">
                  <c:v>1.75609756097561</c:v>
                </c:pt>
                <c:pt idx="60">
                  <c:v>1.75609756097561</c:v>
                </c:pt>
                <c:pt idx="61">
                  <c:v>1.75609756097561</c:v>
                </c:pt>
                <c:pt idx="62">
                  <c:v>1.75609756097561</c:v>
                </c:pt>
                <c:pt idx="63">
                  <c:v>1.75609756097561</c:v>
                </c:pt>
                <c:pt idx="64">
                  <c:v>1.75609756097561</c:v>
                </c:pt>
                <c:pt idx="65">
                  <c:v>1.75609756097561</c:v>
                </c:pt>
                <c:pt idx="66">
                  <c:v>1.75609756097561</c:v>
                </c:pt>
                <c:pt idx="67">
                  <c:v>1.75609756097561</c:v>
                </c:pt>
                <c:pt idx="68">
                  <c:v>1.75609756097561</c:v>
                </c:pt>
                <c:pt idx="69">
                  <c:v>1.75609756097561</c:v>
                </c:pt>
                <c:pt idx="70">
                  <c:v>1.75609756097561</c:v>
                </c:pt>
                <c:pt idx="71">
                  <c:v>1.75609756097561</c:v>
                </c:pt>
                <c:pt idx="72">
                  <c:v>1.75609756097561</c:v>
                </c:pt>
                <c:pt idx="73">
                  <c:v>1.75609756097561</c:v>
                </c:pt>
                <c:pt idx="74">
                  <c:v>1.75609756097561</c:v>
                </c:pt>
                <c:pt idx="75">
                  <c:v>1.75609756097561</c:v>
                </c:pt>
                <c:pt idx="76">
                  <c:v>1.75609756097561</c:v>
                </c:pt>
                <c:pt idx="77">
                  <c:v>1.75609756097561</c:v>
                </c:pt>
                <c:pt idx="78">
                  <c:v>1.75609756097561</c:v>
                </c:pt>
                <c:pt idx="79">
                  <c:v>1.75609756097561</c:v>
                </c:pt>
                <c:pt idx="80">
                  <c:v>1.75609756097561</c:v>
                </c:pt>
                <c:pt idx="81">
                  <c:v>1.75609756097561</c:v>
                </c:pt>
                <c:pt idx="82">
                  <c:v>1.75609756097561</c:v>
                </c:pt>
                <c:pt idx="83">
                  <c:v>1.75609756097561</c:v>
                </c:pt>
                <c:pt idx="84">
                  <c:v>1.75609756097561</c:v>
                </c:pt>
                <c:pt idx="85">
                  <c:v>1.75609756097561</c:v>
                </c:pt>
                <c:pt idx="86">
                  <c:v>1.75609756097561</c:v>
                </c:pt>
                <c:pt idx="87">
                  <c:v>1.75609756097561</c:v>
                </c:pt>
                <c:pt idx="88">
                  <c:v>1.75609756097561</c:v>
                </c:pt>
                <c:pt idx="89">
                  <c:v>1.75609756097561</c:v>
                </c:pt>
                <c:pt idx="90">
                  <c:v>1.75609756097561</c:v>
                </c:pt>
                <c:pt idx="91">
                  <c:v>1.75609756097561</c:v>
                </c:pt>
                <c:pt idx="92">
                  <c:v>1.75609756097561</c:v>
                </c:pt>
                <c:pt idx="93">
                  <c:v>1.75609756097561</c:v>
                </c:pt>
                <c:pt idx="94">
                  <c:v>1.75609756097561</c:v>
                </c:pt>
                <c:pt idx="95">
                  <c:v>1.75609756097561</c:v>
                </c:pt>
                <c:pt idx="96">
                  <c:v>1.75609756097561</c:v>
                </c:pt>
                <c:pt idx="97">
                  <c:v>1.75609756097561</c:v>
                </c:pt>
                <c:pt idx="98">
                  <c:v>1.75609756097561</c:v>
                </c:pt>
                <c:pt idx="99">
                  <c:v>1.75609756097561</c:v>
                </c:pt>
                <c:pt idx="100">
                  <c:v>1.75609756097561</c:v>
                </c:pt>
              </c:numCache>
            </c:numRef>
          </c:val>
        </c:ser>
        <c:ser>
          <c:idx val="3"/>
          <c:order val="3"/>
          <c:tx>
            <c:strRef>
              <c:f>'Midstream'!$B$73</c:f>
              <c:strCache>
                <c:ptCount val="1"/>
                <c:pt idx="0">
                  <c:v>USD 3.10/kg at NH3 USD 600/t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60269E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t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00C8E8"/>
                </a:solidFill>
                <a:prstDash val="dash"/>
              </a:ln>
            </c:spPr>
          </c:errBars>
          <c:cat>
            <c:strRef>
              <c:f>Midstream!$H$427:$H$527</c:f>
              <c:strCache>
                <c:ptCount val="101"/>
                <c:pt idx="0">
                  <c:v>200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300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400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>500</c:v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>700</c:v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800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>900</c:v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1000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>1100</c:v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1200</c:v>
                </c:pt>
              </c:strCache>
            </c:strRef>
          </c:cat>
          <c:val>
            <c:numRef>
              <c:f>Midstream!$F$427:$F$527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3.09733594260491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4"/>
          <c:order val="4"/>
          <c:tx>
            <c:v>t H2 marker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60269E"/>
              </a:solidFill>
              <a:ln w="19050">
                <a:solidFill>
                  <a:srgbClr val="FFFFFF"/>
                </a:solidFill>
              </a:ln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00C8E8"/>
                </a:solidFill>
                <a:prstDash val="dash"/>
              </a:ln>
            </c:spPr>
          </c:errBars>
          <c:cat>
            <c:strRef>
              <c:f>Midstream!$H$427:$H$527</c:f>
              <c:strCache>
                <c:ptCount val="101"/>
                <c:pt idx="0">
                  <c:v>200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300</c:v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400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>500</c:v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600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>700</c:v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800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>900</c:v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1000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>1100</c:v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1200</c:v>
                </c:pt>
              </c:strCache>
            </c:strRef>
          </c:cat>
          <c:val>
            <c:numRef>
              <c:f>Midstream!$G$427:$G$527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1.68298229298101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NH₃ fuel price, USD/t</a:t>
                </a:r>
              </a:p>
            </c:rich>
          </c:tx>
          <c:layout/>
        </c:title>
        <c:numFmt formatCode="0" sourceLinked="0"/>
        <c:majorTickMark val="out"/>
        <c:tickLblPos val="low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tickLblSkip val="1"/>
        <c:tickMarkSkip val="10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Breakeven H₂, USD/kg</a:t>
                </a:r>
              </a:p>
            </c:rich>
          </c:tx>
          <c:layout/>
        </c:title>
        <c:numFmt formatCode="0.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noFill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'Downstream'!$B$68</c:f>
          <c:strCache>
            <c:ptCount val="1"/>
            <c:pt idx="0">
              <c:v>Cracking takes about 252× the energy of regas per cargo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NH₃ burned as fuel</c:v>
          </c:tx>
          <c:spPr>
            <a:solidFill>
              <a:srgbClr val="00C8E8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'Downstream'!$K$91</c:f>
                  <c:strCache>
                    <c:ptCount val="1"/>
                    <c:pt idx="0">
                      <c:v>31,321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'Downstream'!$K$92</c:f>
                  <c:strCache>
                    <c:ptCount val="1"/>
                    <c:pt idx="0">
                      <c:v>19,516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'Downstream'!$K$93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Downstream!$B$91:$B$93</c:f>
              <c:strCache>
                <c:ptCount val="3"/>
                <c:pt idx="0">
                  <c:v>NH₃ cracker · clean fuel</c:v>
                </c:pt>
                <c:pt idx="1">
                  <c:v>NH₃ cracker · NG-fired</c:v>
                </c:pt>
                <c:pt idx="2">
                  <c:v>LH₂ regas (ORV)</c:v>
                </c:pt>
              </c:strCache>
            </c:strRef>
          </c:cat>
          <c:val>
            <c:numRef>
              <c:f>Downstream!$C$91:$C$93</c:f>
              <c:numCache>
                <c:formatCode>General</c:formatCode>
                <c:ptCount val="3"/>
                <c:pt idx="0">
                  <c:v>31321.4814814815</c:v>
                </c:pt>
                <c:pt idx="1">
                  <c:v>19515.6923076923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Natural gas (NH₃-eq)</c:v>
          </c:tx>
          <c:spPr>
            <a:solidFill>
              <a:srgbClr val="2977D6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'Downstream'!$L$91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'Downstream'!$L$92</c:f>
                  <c:strCache>
                    <c:ptCount val="1"/>
                    <c:pt idx="0">
                      <c:v>15,179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'Downstream'!$L$93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Downstream!$B$91:$B$93</c:f>
              <c:strCache>
                <c:ptCount val="3"/>
                <c:pt idx="0">
                  <c:v>NH₃ cracker · clean fuel</c:v>
                </c:pt>
                <c:pt idx="1">
                  <c:v>NH₃ cracker · NG-fired</c:v>
                </c:pt>
                <c:pt idx="2">
                  <c:v>LH₂ regas (ORV)</c:v>
                </c:pt>
              </c:strCache>
            </c:strRef>
          </c:cat>
          <c:val>
            <c:numRef>
              <c:f>Downstream!$D$91:$D$93</c:f>
              <c:numCache>
                <c:formatCode>General</c:formatCode>
                <c:ptCount val="3"/>
                <c:pt idx="0">
                  <c:v>0</c:v>
                </c:pt>
                <c:pt idx="1">
                  <c:v>15178.8717948718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v>Cracker electricity</c:v>
          </c:tx>
          <c:spPr>
            <a:solidFill>
              <a:srgbClr val="60269E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'Downstream'!$M$91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'Downstream'!$M$92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'Downstream'!$M$93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Downstream!$B$91:$B$93</c:f>
              <c:strCache>
                <c:ptCount val="3"/>
                <c:pt idx="0">
                  <c:v>NH₃ cracker · clean fuel</c:v>
                </c:pt>
                <c:pt idx="1">
                  <c:v>NH₃ cracker · NG-fired</c:v>
                </c:pt>
                <c:pt idx="2">
                  <c:v>LH₂ regas (ORV)</c:v>
                </c:pt>
              </c:strCache>
            </c:strRef>
          </c:cat>
          <c:val>
            <c:numRef>
              <c:f>Downstream!$E$91:$E$93</c:f>
              <c:numCache>
                <c:formatCode>General</c:formatCode>
                <c:ptCount val="3"/>
                <c:pt idx="0">
                  <c:v>1098.77777777778</c:v>
                </c:pt>
                <c:pt idx="1">
                  <c:v>1217.10769230769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v>LH₂ send-out pump</c:v>
          </c:tx>
          <c:spPr>
            <a:solidFill>
              <a:srgbClr val="F59F0A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'Downstream'!$N$91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'Downstream'!$N$92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'Downstream'!$N$93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Downstream!$B$91:$B$93</c:f>
              <c:strCache>
                <c:ptCount val="3"/>
                <c:pt idx="0">
                  <c:v>NH₃ cracker · clean fuel</c:v>
                </c:pt>
                <c:pt idx="1">
                  <c:v>NH₃ cracker · NG-fired</c:v>
                </c:pt>
                <c:pt idx="2">
                  <c:v>LH₂ regas (ORV)</c:v>
                </c:pt>
              </c:strCache>
            </c:strRef>
          </c:cat>
          <c:val>
            <c:numRef>
              <c:f>Downstream!$F$91:$F$93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47.6190476190476</c:v>
                </c:pt>
              </c:numCache>
            </c:numRef>
          </c:val>
        </c:ser>
        <c:ser>
          <c:idx val="4"/>
          <c:order val="4"/>
          <c:tx>
            <c:v>Seawater pump</c:v>
          </c:tx>
          <c:spPr>
            <a:solidFill>
              <a:srgbClr val="75BA75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'Downstream'!$O$91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'Downstream'!$O$92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'Downstream'!$O$93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Downstream!$B$91:$B$93</c:f>
              <c:strCache>
                <c:ptCount val="3"/>
                <c:pt idx="0">
                  <c:v>NH₃ cracker · clean fuel</c:v>
                </c:pt>
                <c:pt idx="1">
                  <c:v>NH₃ cracker · NG-fired</c:v>
                </c:pt>
                <c:pt idx="2">
                  <c:v>LH₂ regas (ORV)</c:v>
                </c:pt>
              </c:strCache>
            </c:strRef>
          </c:cat>
          <c:val>
            <c:numRef>
              <c:f>Downstream!$G$91:$G$93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39.10048</c:v>
                </c:pt>
              </c:numCache>
            </c:numRef>
          </c:val>
        </c:ser>
        <c:ser>
          <c:idx val="5"/>
          <c:order val="5"/>
          <c:tx>
            <c:v>Import-tank BOG reliq</c:v>
          </c:tx>
          <c:spPr>
            <a:solidFill>
              <a:srgbClr val="65758B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'Downstream'!$P$91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'Downstream'!$P$92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'Downstream'!$P$93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Downstream!$B$91:$B$93</c:f>
              <c:strCache>
                <c:ptCount val="3"/>
                <c:pt idx="0">
                  <c:v>NH₃ cracker · clean fuel</c:v>
                </c:pt>
                <c:pt idx="1">
                  <c:v>NH₃ cracker · NG-fired</c:v>
                </c:pt>
                <c:pt idx="2">
                  <c:v>LH₂ regas (ORV)</c:v>
                </c:pt>
              </c:strCache>
            </c:strRef>
          </c:cat>
          <c:val>
            <c:numRef>
              <c:f>Downstream!$H$91:$H$93</c:f>
              <c:numCache>
                <c:formatCode>General</c:formatCode>
                <c:ptCount val="3"/>
                <c:pt idx="0">
                  <c:v>17.0329585228673</c:v>
                </c:pt>
                <c:pt idx="1">
                  <c:v>17.0329585228673</c:v>
                </c:pt>
                <c:pt idx="2">
                  <c:v>55.6789307250206</c:v>
                </c:pt>
              </c:numCache>
            </c:numRef>
          </c:val>
        </c:ser>
        <c:ser>
          <c:idx val="6"/>
          <c:order val="6"/>
          <c:tx>
            <c:v> </c:v>
          </c:tx>
          <c:spPr>
            <a:noFill/>
            <a:ln>
              <a:noFill/>
            </a:ln>
          </c:spPr>
          <c:dLbls>
            <c:dLbl>
              <c:idx val="0"/>
              <c:layout/>
              <c:tx>
                <c:strRef>
                  <c:f>'Downstream'!$Q$91</c:f>
                  <c:strCache>
                    <c:ptCount val="1"/>
                    <c:pt idx="0">
                      <c:v>32,437 MWh</c:v>
                    </c:pt>
                  </c:strCache>
                </c:strRef>
              </c:tx>
              <c:dLblPos val="inBase"/>
              <c:showVal val="1"/>
            </c:dLbl>
            <c:dLbl>
              <c:idx val="1"/>
              <c:layout/>
              <c:tx>
                <c:strRef>
                  <c:f>'Downstream'!$Q$92</c:f>
                  <c:strCache>
                    <c:ptCount val="1"/>
                    <c:pt idx="0">
                      <c:v>35,929 MWh</c:v>
                    </c:pt>
                  </c:strCache>
                </c:strRef>
              </c:tx>
              <c:dLblPos val="inBase"/>
              <c:showVal val="1"/>
            </c:dLbl>
            <c:dLbl>
              <c:idx val="2"/>
              <c:layout/>
              <c:tx>
                <c:strRef>
                  <c:f>'Downstream'!$Q$93</c:f>
                  <c:strCache>
                    <c:ptCount val="1"/>
                    <c:pt idx="0">
                      <c:v>142 MWh</c:v>
                    </c:pt>
                  </c:strCache>
                </c:strRef>
              </c:tx>
              <c:dLblPos val="inBase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inBase"/>
            <c:showVal val="1"/>
          </c:dLbls>
          <c:cat>
            <c:strRef>
              <c:f>Downstream!$B$91:$B$93</c:f>
              <c:strCache>
                <c:ptCount val="3"/>
                <c:pt idx="0">
                  <c:v>NH₃ cracker · clean fuel</c:v>
                </c:pt>
                <c:pt idx="1">
                  <c:v>NH₃ cracker · NG-fired</c:v>
                </c:pt>
                <c:pt idx="2">
                  <c:v>LH₂ regas (ORV)</c:v>
                </c:pt>
              </c:strCache>
            </c:strRef>
          </c:cat>
          <c:val>
            <c:numRef>
              <c:f>Downstream!$J$91:$J$93</c:f>
              <c:numCache>
                <c:formatCode>General</c:formatCode>
                <c:ptCount val="3"/>
                <c:pt idx="0">
                  <c:v>10778.6114260184</c:v>
                </c:pt>
                <c:pt idx="1">
                  <c:v>10778.6114260184</c:v>
                </c:pt>
                <c:pt idx="2">
                  <c:v>10778.6114260184</c:v>
                </c:pt>
              </c:numCache>
            </c:numRef>
          </c:val>
        </c:ser>
        <c:gapWidth val="45"/>
        <c:overlap val="100"/>
        <c:axId val="50070001"/>
        <c:axId val="50070002"/>
      </c:barChart>
      <c:catAx>
        <c:axId val="50070001"/>
        <c:scaling>
          <c:orientation val="minMax"/>
        </c:scaling>
        <c:axPos val="l"/>
        <c:majorTickMark val="none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1" baseline="0">
                <a:solidFill>
                  <a:srgbClr val="1F2933"/>
                </a:solidFill>
                <a:latin typeface="Verdana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in val="0"/>
        </c:scaling>
        <c:axPos val="b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'Downstream'!$B$70</c:f>
              <c:strCache>
                <c:ptCount val="1"/>
                <c:pt idx="0">
                  <c:v>Energy per 40,000 m3 cargo, MWh</c:v>
                </c:pt>
              </c:strCache>
            </c:strRef>
          </c:tx>
          <c:layout/>
          <c:txPr>
            <a:bodyPr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noFill/>
      </c:spPr>
    </c:plotArea>
    <c:legend>
      <c:legendPos val="b"/>
      <c:legendEntry>
        <c:idx val="6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'Downstream'!$B$69</c:f>
          <c:strCache>
            <c:ptCount val="1"/>
            <c:pt idx="0">
              <c:v>LH2 regas needs 142 MWh, all of it electricity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LH₂ send-out pump</c:v>
          </c:tx>
          <c:spPr>
            <a:solidFill>
              <a:srgbClr val="F59F0A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'Downstream'!$H$97</c:f>
                  <c:strCache>
                    <c:ptCount val="1"/>
                    <c:pt idx="0">
                      <c:v>47.6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Downstream!$B$97</c:f>
              <c:strCache>
                <c:ptCount val="1"/>
                <c:pt idx="0">
                  <c:v>LH₂ regas (ORV)</c:v>
                </c:pt>
              </c:strCache>
            </c:strRef>
          </c:cat>
          <c:val>
            <c:numRef>
              <c:f>Downstream!$C$97</c:f>
              <c:numCache>
                <c:formatCode>General</c:formatCode>
                <c:ptCount val="1"/>
                <c:pt idx="0">
                  <c:v>47.6190476190476</c:v>
                </c:pt>
              </c:numCache>
            </c:numRef>
          </c:val>
        </c:ser>
        <c:ser>
          <c:idx val="1"/>
          <c:order val="1"/>
          <c:tx>
            <c:v>Seawater pump</c:v>
          </c:tx>
          <c:spPr>
            <a:solidFill>
              <a:srgbClr val="75BA75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'Downstream'!$I$97</c:f>
                  <c:strCache>
                    <c:ptCount val="1"/>
                    <c:pt idx="0">
                      <c:v>39.1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Downstream!$B$97</c:f>
              <c:strCache>
                <c:ptCount val="1"/>
                <c:pt idx="0">
                  <c:v>LH₂ regas (ORV)</c:v>
                </c:pt>
              </c:strCache>
            </c:strRef>
          </c:cat>
          <c:val>
            <c:numRef>
              <c:f>Downstream!$D$97</c:f>
              <c:numCache>
                <c:formatCode>General</c:formatCode>
                <c:ptCount val="1"/>
                <c:pt idx="0">
                  <c:v>39.10048</c:v>
                </c:pt>
              </c:numCache>
            </c:numRef>
          </c:val>
        </c:ser>
        <c:ser>
          <c:idx val="2"/>
          <c:order val="2"/>
          <c:tx>
            <c:v>Import-tank BOG reliq</c:v>
          </c:tx>
          <c:spPr>
            <a:solidFill>
              <a:srgbClr val="65758B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'Downstream'!$J$97</c:f>
                  <c:strCache>
                    <c:ptCount val="1"/>
                    <c:pt idx="0">
                      <c:v>55.7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Downstream!$B$97</c:f>
              <c:strCache>
                <c:ptCount val="1"/>
                <c:pt idx="0">
                  <c:v>LH₂ regas (ORV)</c:v>
                </c:pt>
              </c:strCache>
            </c:strRef>
          </c:cat>
          <c:val>
            <c:numRef>
              <c:f>Downstream!$E$97</c:f>
              <c:numCache>
                <c:formatCode>General</c:formatCode>
                <c:ptCount val="1"/>
                <c:pt idx="0">
                  <c:v>55.6789307250206</c:v>
                </c:pt>
              </c:numCache>
            </c:numRef>
          </c:val>
        </c:ser>
        <c:ser>
          <c:idx val="3"/>
          <c:order val="3"/>
          <c:tx>
            <c:v> </c:v>
          </c:tx>
          <c:spPr>
            <a:noFill/>
            <a:ln>
              <a:noFill/>
            </a:ln>
          </c:spPr>
          <c:dLbls>
            <c:dLbl>
              <c:idx val="0"/>
              <c:layout/>
              <c:tx>
                <c:strRef>
                  <c:f>'Downstream'!$K$97</c:f>
                  <c:strCache>
                    <c:ptCount val="1"/>
                    <c:pt idx="0">
                      <c:v>142 MWh</c:v>
                    </c:pt>
                  </c:strCache>
                </c:strRef>
              </c:tx>
              <c:dLblPos val="inBase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inBase"/>
            <c:showVal val="1"/>
          </c:dLbls>
          <c:cat>
            <c:strRef>
              <c:f>Downstream!$B$97</c:f>
              <c:strCache>
                <c:ptCount val="1"/>
                <c:pt idx="0">
                  <c:v>LH₂ regas (ORV)</c:v>
                </c:pt>
              </c:strCache>
            </c:strRef>
          </c:cat>
          <c:val>
            <c:numRef>
              <c:f>Downstream!$G$97</c:f>
              <c:numCache>
                <c:formatCode>General</c:formatCode>
                <c:ptCount val="1"/>
                <c:pt idx="0">
                  <c:v>42.7195375032205</c:v>
                </c:pt>
              </c:numCache>
            </c:numRef>
          </c:val>
        </c:ser>
        <c:gapWidth val="45"/>
        <c:overlap val="100"/>
        <c:axId val="50080001"/>
        <c:axId val="50080002"/>
      </c:barChart>
      <c:catAx>
        <c:axId val="50080001"/>
        <c:scaling>
          <c:orientation val="minMax"/>
        </c:scaling>
        <c:axPos val="l"/>
        <c:majorTickMark val="none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1" baseline="0">
                <a:solidFill>
                  <a:srgbClr val="1F2933"/>
                </a:solidFill>
                <a:latin typeface="Verdana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in val="0"/>
        </c:scaling>
        <c:axPos val="b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'Downstream'!$B$71</c:f>
              <c:strCache>
                <c:ptCount val="1"/>
                <c:pt idx="0">
                  <c:v>MWh per cargo</c:v>
                </c:pt>
              </c:strCache>
            </c:strRef>
          </c:tx>
          <c:layout/>
          <c:txPr>
            <a:bodyPr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noFill/>
      </c:spPr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'Full Chain'!$B$80</c:f>
          <c:strCache>
            <c:ptCount val="1"/>
            <c:pt idx="0">
              <c:v>End to end, the NH3 with NG-fired cracker uses the least energy per kg H2 delivered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Electrolysis</c:v>
          </c:tx>
          <c:spPr>
            <a:solidFill>
              <a:srgbClr val="75BA75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'Full Chain'!$J$85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'Full Chain'!$J$86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'Full Chain'!$J$87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'Full Chain'!$B$85:$B$87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'Full Chain'!$C$85:$C$87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Upstream (liquefaction / Haber-Bosch + tank)</c:v>
          </c:tx>
          <c:spPr>
            <a:solidFill>
              <a:srgbClr val="60269E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'Full Chain'!$K$85</c:f>
                  <c:strCache>
                    <c:ptCount val="1"/>
                    <c:pt idx="0">
                      <c:v>1.3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'Full Chain'!$K$86</c:f>
                  <c:strCache>
                    <c:ptCount val="1"/>
                    <c:pt idx="0">
                      <c:v>1.2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'Full Chain'!$K$87</c:f>
                  <c:strCache>
                    <c:ptCount val="1"/>
                    <c:pt idx="0">
                      <c:v>9.8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'Full Chain'!$B$85:$B$87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'Full Chain'!$D$85:$D$87</c:f>
              <c:numCache>
                <c:formatCode>General</c:formatCode>
                <c:ptCount val="3"/>
                <c:pt idx="0">
                  <c:v>1.29246428571429</c:v>
                </c:pt>
                <c:pt idx="1">
                  <c:v>1.16680803571429</c:v>
                </c:pt>
                <c:pt idx="2">
                  <c:v>9.81472826086957</c:v>
                </c:pt>
              </c:numCache>
            </c:numRef>
          </c:val>
        </c:ser>
        <c:ser>
          <c:idx val="2"/>
          <c:order val="2"/>
          <c:tx>
            <c:v>Shipping fuel</c:v>
          </c:tx>
          <c:spPr>
            <a:solidFill>
              <a:srgbClr val="00C8E8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'Full Chain'!$L$85</c:f>
                  <c:strCache>
                    <c:ptCount val="1"/>
                    <c:pt idx="0">
                      <c:v>1.8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'Full Chain'!$L$86</c:f>
                  <c:strCache>
                    <c:ptCount val="1"/>
                    <c:pt idx="0">
                      <c:v>1.6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'Full Chain'!$L$87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'Full Chain'!$B$85:$B$87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'Full Chain'!$E$85:$E$87</c:f>
              <c:numCache>
                <c:formatCode>General</c:formatCode>
                <c:ptCount val="3"/>
                <c:pt idx="0">
                  <c:v>1.80351906158358</c:v>
                </c:pt>
                <c:pt idx="1">
                  <c:v>1.62817693059629</c:v>
                </c:pt>
                <c:pt idx="2">
                  <c:v>0.510982150167854</c:v>
                </c:pt>
              </c:numCache>
            </c:numRef>
          </c:val>
        </c:ser>
        <c:ser>
          <c:idx val="3"/>
          <c:order val="3"/>
          <c:tx>
            <c:v>Shipping: cargo burned as fuel</c:v>
          </c:tx>
          <c:spPr>
            <a:solidFill>
              <a:srgbClr val="F59F0A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'Full Chain'!$M$85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'Full Chain'!$M$86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'Full Chain'!$M$87</c:f>
                  <c:strCache>
                    <c:ptCount val="1"/>
                    <c:pt idx="0">
                      <c:v>2.9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'Full Chain'!$B$85:$B$87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'Full Chain'!$F$85:$F$87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2.89855072463768</c:v>
                </c:pt>
              </c:numCache>
            </c:numRef>
          </c:val>
        </c:ser>
        <c:ser>
          <c:idx val="4"/>
          <c:order val="4"/>
          <c:tx>
            <c:v>Downstream (regas / cracking)</c:v>
          </c:tx>
          <c:spPr>
            <a:solidFill>
              <a:srgbClr val="2977D6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'Full Chain'!$N$85</c:f>
                  <c:strCache>
                    <c:ptCount val="1"/>
                    <c:pt idx="0">
                      <c:v>8.6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'Full Chain'!$N$86</c:f>
                  <c:strCache>
                    <c:ptCount val="1"/>
                    <c:pt idx="0">
                      <c:v>8.6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'Full Chain'!$N$87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'Full Chain'!$B$85:$B$87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'Full Chain'!$G$85:$G$87</c:f>
              <c:numCache>
                <c:formatCode>General</c:formatCode>
                <c:ptCount val="3"/>
                <c:pt idx="0">
                  <c:v>8.56116216891611</c:v>
                </c:pt>
                <c:pt idx="1">
                  <c:v>8.56072510619741</c:v>
                </c:pt>
                <c:pt idx="2">
                  <c:v>0.0502819415056738</c:v>
                </c:pt>
              </c:numCache>
            </c:numRef>
          </c:val>
        </c:ser>
        <c:ser>
          <c:idx val="5"/>
          <c:order val="5"/>
          <c:tx>
            <c:v> </c:v>
          </c:tx>
          <c:spPr>
            <a:noFill/>
            <a:ln>
              <a:noFill/>
            </a:ln>
          </c:spPr>
          <c:dLbls>
            <c:dLbl>
              <c:idx val="0"/>
              <c:layout/>
              <c:tx>
                <c:strRef>
                  <c:f>'Full Chain'!$O$85</c:f>
                  <c:strCache>
                    <c:ptCount val="1"/>
                    <c:pt idx="0">
                      <c:v>11.7 kWh/kg H2</c:v>
                    </c:pt>
                  </c:strCache>
                </c:strRef>
              </c:tx>
              <c:dLblPos val="inBase"/>
              <c:showVal val="1"/>
            </c:dLbl>
            <c:dLbl>
              <c:idx val="1"/>
              <c:layout/>
              <c:tx>
                <c:strRef>
                  <c:f>'Full Chain'!$O$86</c:f>
                  <c:strCache>
                    <c:ptCount val="1"/>
                    <c:pt idx="0">
                      <c:v>11.4 kWh/kg H2</c:v>
                    </c:pt>
                  </c:strCache>
                </c:strRef>
              </c:tx>
              <c:dLblPos val="inBase"/>
              <c:showVal val="1"/>
            </c:dLbl>
            <c:dLbl>
              <c:idx val="2"/>
              <c:layout/>
              <c:tx>
                <c:strRef>
                  <c:f>'Full Chain'!$O$87</c:f>
                  <c:strCache>
                    <c:ptCount val="1"/>
                    <c:pt idx="0">
                      <c:v>13.3 kWh/kg H2</c:v>
                    </c:pt>
                  </c:strCache>
                </c:strRef>
              </c:tx>
              <c:dLblPos val="inBase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inBase"/>
            <c:showVal val="1"/>
          </c:dLbls>
          <c:cat>
            <c:strRef>
              <c:f>'Full Chain'!$B$85:$B$87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'Full Chain'!$I$85:$I$87</c:f>
              <c:numCache>
                <c:formatCode>General</c:formatCode>
                <c:ptCount val="3"/>
                <c:pt idx="0">
                  <c:v>3.98236292315423</c:v>
                </c:pt>
                <c:pt idx="1">
                  <c:v>3.98236292315423</c:v>
                </c:pt>
                <c:pt idx="2">
                  <c:v>3.98236292315423</c:v>
                </c:pt>
              </c:numCache>
            </c:numRef>
          </c:val>
        </c:ser>
        <c:gapWidth val="45"/>
        <c:overlap val="100"/>
        <c:axId val="50090001"/>
        <c:axId val="50090002"/>
      </c:barChart>
      <c:catAx>
        <c:axId val="50090001"/>
        <c:scaling>
          <c:orientation val="minMax"/>
        </c:scaling>
        <c:axPos val="l"/>
        <c:majorTickMark val="none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1" baseline="0">
                <a:solidFill>
                  <a:srgbClr val="1F2933"/>
                </a:solidFill>
                <a:latin typeface="Verdana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in val="0"/>
        </c:scaling>
        <c:axPos val="b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'Full Chain'!$B$81</c:f>
              <c:strCache>
                <c:ptCount val="1"/>
                <c:pt idx="0">
                  <c:v>Energy, kWh per kg H2 delivered</c:v>
                </c:pt>
              </c:strCache>
            </c:strRef>
          </c:tx>
          <c:layout/>
          <c:txPr>
            <a:bodyPr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noFill/>
      </c:spPr>
    </c:plotArea>
    <c:legend>
      <c:legendPos val="b"/>
      <c:legendEntry>
        <c:idx val="5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'Annual Energy'!$B$62</c:f>
          <c:strCache>
            <c:ptCount val="1"/>
            <c:pt idx="0">
              <c:v>NH3 NG-fired needs the least: 1,136 GWh/y, 192 GWh/y less than the worst chain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Electrolysis</c:v>
          </c:tx>
          <c:spPr>
            <a:solidFill>
              <a:srgbClr val="75BA75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'Annual Energy'!$J$68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'Annual Energy'!$J$69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'Annual Energy'!$J$70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'Annual Energy'!$B$68:$B$70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'Annual Energy'!$C$68:$C$70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Upstream (liquefaction / Haber-Bosch + tank)</c:v>
          </c:tx>
          <c:spPr>
            <a:solidFill>
              <a:srgbClr val="60269E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'Annual Energy'!$K$68</c:f>
                  <c:strCache>
                    <c:ptCount val="1"/>
                    <c:pt idx="0">
                      <c:v>129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'Annual Energy'!$K$69</c:f>
                  <c:strCache>
                    <c:ptCount val="1"/>
                    <c:pt idx="0">
                      <c:v>117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'Annual Energy'!$K$70</c:f>
                  <c:strCache>
                    <c:ptCount val="1"/>
                    <c:pt idx="0">
                      <c:v>981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'Annual Energy'!$B$68:$B$70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'Annual Energy'!$D$68:$D$70</c:f>
              <c:numCache>
                <c:formatCode>General</c:formatCode>
                <c:ptCount val="3"/>
                <c:pt idx="0">
                  <c:v>129.246428571429</c:v>
                </c:pt>
                <c:pt idx="1">
                  <c:v>116.680803571429</c:v>
                </c:pt>
                <c:pt idx="2">
                  <c:v>981.472826086957</c:v>
                </c:pt>
              </c:numCache>
            </c:numRef>
          </c:val>
        </c:ser>
        <c:ser>
          <c:idx val="2"/>
          <c:order val="2"/>
          <c:tx>
            <c:v>Shipping fuel</c:v>
          </c:tx>
          <c:spPr>
            <a:solidFill>
              <a:srgbClr val="00C8E8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'Annual Energy'!$L$68</c:f>
                  <c:strCache>
                    <c:ptCount val="1"/>
                    <c:pt idx="0">
                      <c:v>180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'Annual Energy'!$L$69</c:f>
                  <c:strCache>
                    <c:ptCount val="1"/>
                    <c:pt idx="0">
                      <c:v>163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'Annual Energy'!$L$70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'Annual Energy'!$B$68:$B$70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'Annual Energy'!$E$68:$E$70</c:f>
              <c:numCache>
                <c:formatCode>General</c:formatCode>
                <c:ptCount val="3"/>
                <c:pt idx="0">
                  <c:v>180.351906158358</c:v>
                </c:pt>
                <c:pt idx="1">
                  <c:v>162.817693059629</c:v>
                </c:pt>
                <c:pt idx="2">
                  <c:v>51.0982150167854</c:v>
                </c:pt>
              </c:numCache>
            </c:numRef>
          </c:val>
        </c:ser>
        <c:ser>
          <c:idx val="3"/>
          <c:order val="3"/>
          <c:tx>
            <c:v>Shipping: cargo burned as fuel</c:v>
          </c:tx>
          <c:spPr>
            <a:solidFill>
              <a:srgbClr val="F59F0A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'Annual Energy'!$M$68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'Annual Energy'!$M$69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'Annual Energy'!$M$70</c:f>
                  <c:strCache>
                    <c:ptCount val="1"/>
                    <c:pt idx="0">
                      <c:v>290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'Annual Energy'!$B$68:$B$70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'Annual Energy'!$F$68:$F$70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289.855072463768</c:v>
                </c:pt>
              </c:numCache>
            </c:numRef>
          </c:val>
        </c:ser>
        <c:ser>
          <c:idx val="4"/>
          <c:order val="4"/>
          <c:tx>
            <c:v>Downstream (regas / cracking)</c:v>
          </c:tx>
          <c:spPr>
            <a:solidFill>
              <a:srgbClr val="2977D6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'Annual Energy'!$N$68</c:f>
                  <c:strCache>
                    <c:ptCount val="1"/>
                    <c:pt idx="0">
                      <c:v>856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'Annual Energy'!$N$69</c:f>
                  <c:strCache>
                    <c:ptCount val="1"/>
                    <c:pt idx="0">
                      <c:v>856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'Annual Energy'!$N$70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'Annual Energy'!$B$68:$B$70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'Annual Energy'!$G$68:$G$70</c:f>
              <c:numCache>
                <c:formatCode>General</c:formatCode>
                <c:ptCount val="3"/>
                <c:pt idx="0">
                  <c:v>856.116216891611</c:v>
                </c:pt>
                <c:pt idx="1">
                  <c:v>856.072510619741</c:v>
                </c:pt>
                <c:pt idx="2">
                  <c:v>5.02819415056738</c:v>
                </c:pt>
              </c:numCache>
            </c:numRef>
          </c:val>
        </c:ser>
        <c:ser>
          <c:idx val="5"/>
          <c:order val="5"/>
          <c:tx>
            <c:v> </c:v>
          </c:tx>
          <c:spPr>
            <a:noFill/>
            <a:ln>
              <a:noFill/>
            </a:ln>
          </c:spPr>
          <c:dLbls>
            <c:dLbl>
              <c:idx val="0"/>
              <c:layout/>
              <c:tx>
                <c:strRef>
                  <c:f>'Annual Energy'!$O$68</c:f>
                  <c:strCache>
                    <c:ptCount val="1"/>
                    <c:pt idx="0">
                      <c:v>1,166 GWh/y</c:v>
                    </c:pt>
                  </c:strCache>
                </c:strRef>
              </c:tx>
              <c:dLblPos val="inBase"/>
              <c:showVal val="1"/>
            </c:dLbl>
            <c:dLbl>
              <c:idx val="1"/>
              <c:layout/>
              <c:tx>
                <c:strRef>
                  <c:f>'Annual Energy'!$O$69</c:f>
                  <c:strCache>
                    <c:ptCount val="1"/>
                    <c:pt idx="0">
                      <c:v>1,136 GWh/y</c:v>
                    </c:pt>
                  </c:strCache>
                </c:strRef>
              </c:tx>
              <c:dLblPos val="inBase"/>
              <c:showVal val="1"/>
            </c:dLbl>
            <c:dLbl>
              <c:idx val="2"/>
              <c:layout/>
              <c:tx>
                <c:strRef>
                  <c:f>'Annual Energy'!$O$70</c:f>
                  <c:strCache>
                    <c:ptCount val="1"/>
                    <c:pt idx="0">
                      <c:v>1,327 GWh/y</c:v>
                    </c:pt>
                  </c:strCache>
                </c:strRef>
              </c:tx>
              <c:dLblPos val="inBase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inBase"/>
            <c:showVal val="1"/>
          </c:dLbls>
          <c:cat>
            <c:strRef>
              <c:f>'Annual Energy'!$B$68:$B$70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'Annual Energy'!$I$68:$I$70</c:f>
              <c:numCache>
                <c:formatCode>General</c:formatCode>
                <c:ptCount val="3"/>
                <c:pt idx="0">
                  <c:v>398.236292315423</c:v>
                </c:pt>
                <c:pt idx="1">
                  <c:v>398.236292315423</c:v>
                </c:pt>
                <c:pt idx="2">
                  <c:v>398.236292315423</c:v>
                </c:pt>
              </c:numCache>
            </c:numRef>
          </c:val>
        </c:ser>
        <c:gapWidth val="45"/>
        <c:overlap val="100"/>
        <c:axId val="50100001"/>
        <c:axId val="50100002"/>
      </c:barChart>
      <c:catAx>
        <c:axId val="50100001"/>
        <c:scaling>
          <c:orientation val="minMax"/>
        </c:scaling>
        <c:axPos val="l"/>
        <c:majorTickMark val="none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1" baseline="0">
                <a:solidFill>
                  <a:srgbClr val="1F2933"/>
                </a:solidFill>
                <a:latin typeface="Verdana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in val="0"/>
        </c:scaling>
        <c:axPos val="b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'Annual Energy'!$B$63</c:f>
              <c:strCache>
                <c:ptCount val="1"/>
                <c:pt idx="0">
                  <c:v>Energy, GWh per year at 100 ktpa delivered</c:v>
                </c:pt>
              </c:strCache>
            </c:strRef>
          </c:tx>
          <c:layout/>
          <c:txPr>
            <a:bodyPr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noFill/>
      </c:spPr>
    </c:plotArea>
    <c:legend>
      <c:legendPos val="b"/>
      <c:legendEntry>
        <c:idx val="5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'Energy Cost'!$B$89</c:f>
          <c:strCache>
            <c:ptCount val="1"/>
            <c:pt idx="0">
              <c:v>Both NH3 chains have a lower energy cost than LH2 at any H2 price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LH₂ chain (rises with H₂ price)</c:v>
          </c:tx>
          <c:spPr>
            <a:ln w="31750">
              <a:solidFill>
                <a:srgbClr val="60269E"/>
              </a:solidFill>
            </a:ln>
          </c:spPr>
          <c:marker>
            <c:symbol val="none"/>
          </c:marker>
          <c:cat>
            <c:strRef>
              <c:f>'Energy Cost'!$I$101:$I$301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'Energy Cost'!$C$101:$C$301</c:f>
              <c:numCache>
                <c:formatCode>General</c:formatCode>
                <c:ptCount val="201"/>
                <c:pt idx="0">
                  <c:v>1.29343970927056</c:v>
                </c:pt>
                <c:pt idx="1">
                  <c:v>1.29743970927056</c:v>
                </c:pt>
                <c:pt idx="2">
                  <c:v>1.30143970927056</c:v>
                </c:pt>
                <c:pt idx="3">
                  <c:v>1.30543970927056</c:v>
                </c:pt>
                <c:pt idx="4">
                  <c:v>1.30943970927056</c:v>
                </c:pt>
                <c:pt idx="5">
                  <c:v>1.31343970927056</c:v>
                </c:pt>
                <c:pt idx="6">
                  <c:v>1.31743970927056</c:v>
                </c:pt>
                <c:pt idx="7">
                  <c:v>1.32143970927056</c:v>
                </c:pt>
                <c:pt idx="8">
                  <c:v>1.32543970927056</c:v>
                </c:pt>
                <c:pt idx="9">
                  <c:v>1.32943970927056</c:v>
                </c:pt>
                <c:pt idx="10">
                  <c:v>1.33343970927056</c:v>
                </c:pt>
                <c:pt idx="11">
                  <c:v>1.33743970927056</c:v>
                </c:pt>
                <c:pt idx="12">
                  <c:v>1.34143970927056</c:v>
                </c:pt>
                <c:pt idx="13">
                  <c:v>1.34543970927056</c:v>
                </c:pt>
                <c:pt idx="14">
                  <c:v>1.34943970927056</c:v>
                </c:pt>
                <c:pt idx="15">
                  <c:v>1.35343970927056</c:v>
                </c:pt>
                <c:pt idx="16">
                  <c:v>1.35743970927056</c:v>
                </c:pt>
                <c:pt idx="17">
                  <c:v>1.36143970927056</c:v>
                </c:pt>
                <c:pt idx="18">
                  <c:v>1.36543970927056</c:v>
                </c:pt>
                <c:pt idx="19">
                  <c:v>1.36943970927056</c:v>
                </c:pt>
                <c:pt idx="20">
                  <c:v>1.37343970927056</c:v>
                </c:pt>
                <c:pt idx="21">
                  <c:v>1.37743970927056</c:v>
                </c:pt>
                <c:pt idx="22">
                  <c:v>1.38143970927056</c:v>
                </c:pt>
                <c:pt idx="23">
                  <c:v>1.38543970927056</c:v>
                </c:pt>
                <c:pt idx="24">
                  <c:v>1.38943970927056</c:v>
                </c:pt>
                <c:pt idx="25">
                  <c:v>1.39343970927056</c:v>
                </c:pt>
                <c:pt idx="26">
                  <c:v>1.39743970927056</c:v>
                </c:pt>
                <c:pt idx="27">
                  <c:v>1.40143970927056</c:v>
                </c:pt>
                <c:pt idx="28">
                  <c:v>1.40543970927056</c:v>
                </c:pt>
                <c:pt idx="29">
                  <c:v>1.40943970927056</c:v>
                </c:pt>
                <c:pt idx="30">
                  <c:v>1.41343970927056</c:v>
                </c:pt>
                <c:pt idx="31">
                  <c:v>1.41743970927056</c:v>
                </c:pt>
                <c:pt idx="32">
                  <c:v>1.42143970927056</c:v>
                </c:pt>
                <c:pt idx="33">
                  <c:v>1.42543970927056</c:v>
                </c:pt>
                <c:pt idx="34">
                  <c:v>1.42943970927056</c:v>
                </c:pt>
                <c:pt idx="35">
                  <c:v>1.43343970927056</c:v>
                </c:pt>
                <c:pt idx="36">
                  <c:v>1.43743970927056</c:v>
                </c:pt>
                <c:pt idx="37">
                  <c:v>1.44143970927056</c:v>
                </c:pt>
                <c:pt idx="38">
                  <c:v>1.44543970927056</c:v>
                </c:pt>
                <c:pt idx="39">
                  <c:v>1.44943970927056</c:v>
                </c:pt>
                <c:pt idx="40">
                  <c:v>1.45343970927056</c:v>
                </c:pt>
                <c:pt idx="41">
                  <c:v>1.45743970927056</c:v>
                </c:pt>
                <c:pt idx="42">
                  <c:v>1.46143970927056</c:v>
                </c:pt>
                <c:pt idx="43">
                  <c:v>1.46543970927056</c:v>
                </c:pt>
                <c:pt idx="44">
                  <c:v>1.46943970927056</c:v>
                </c:pt>
                <c:pt idx="45">
                  <c:v>1.47343970927056</c:v>
                </c:pt>
                <c:pt idx="46">
                  <c:v>1.47743970927056</c:v>
                </c:pt>
                <c:pt idx="47">
                  <c:v>1.48143970927056</c:v>
                </c:pt>
                <c:pt idx="48">
                  <c:v>1.48543970927056</c:v>
                </c:pt>
                <c:pt idx="49">
                  <c:v>1.48943970927056</c:v>
                </c:pt>
                <c:pt idx="50">
                  <c:v>1.49343970927056</c:v>
                </c:pt>
                <c:pt idx="51">
                  <c:v>1.49743970927056</c:v>
                </c:pt>
                <c:pt idx="52">
                  <c:v>1.50143970927056</c:v>
                </c:pt>
                <c:pt idx="53">
                  <c:v>1.50543970927056</c:v>
                </c:pt>
                <c:pt idx="54">
                  <c:v>1.50943970927056</c:v>
                </c:pt>
                <c:pt idx="55">
                  <c:v>1.51343970927056</c:v>
                </c:pt>
                <c:pt idx="56">
                  <c:v>1.51743970927056</c:v>
                </c:pt>
                <c:pt idx="57">
                  <c:v>1.52143970927056</c:v>
                </c:pt>
                <c:pt idx="58">
                  <c:v>1.52543970927056</c:v>
                </c:pt>
                <c:pt idx="59">
                  <c:v>1.52943970927056</c:v>
                </c:pt>
                <c:pt idx="60">
                  <c:v>1.53343970927056</c:v>
                </c:pt>
                <c:pt idx="61">
                  <c:v>1.53743970927056</c:v>
                </c:pt>
                <c:pt idx="62">
                  <c:v>1.54143970927056</c:v>
                </c:pt>
                <c:pt idx="63">
                  <c:v>1.54543970927056</c:v>
                </c:pt>
                <c:pt idx="64">
                  <c:v>1.54943970927056</c:v>
                </c:pt>
                <c:pt idx="65">
                  <c:v>1.55343970927056</c:v>
                </c:pt>
                <c:pt idx="66">
                  <c:v>1.55743970927056</c:v>
                </c:pt>
                <c:pt idx="67">
                  <c:v>1.56143970927056</c:v>
                </c:pt>
                <c:pt idx="68">
                  <c:v>1.56543970927056</c:v>
                </c:pt>
                <c:pt idx="69">
                  <c:v>1.56943970927056</c:v>
                </c:pt>
                <c:pt idx="70">
                  <c:v>1.57343970927056</c:v>
                </c:pt>
                <c:pt idx="71">
                  <c:v>1.57743970927056</c:v>
                </c:pt>
                <c:pt idx="72">
                  <c:v>1.58143970927056</c:v>
                </c:pt>
                <c:pt idx="73">
                  <c:v>1.58543970927056</c:v>
                </c:pt>
                <c:pt idx="74">
                  <c:v>1.58943970927056</c:v>
                </c:pt>
                <c:pt idx="75">
                  <c:v>1.59343970927056</c:v>
                </c:pt>
                <c:pt idx="76">
                  <c:v>1.59743970927056</c:v>
                </c:pt>
                <c:pt idx="77">
                  <c:v>1.60143970927056</c:v>
                </c:pt>
                <c:pt idx="78">
                  <c:v>1.60543970927056</c:v>
                </c:pt>
                <c:pt idx="79">
                  <c:v>1.60943970927056</c:v>
                </c:pt>
                <c:pt idx="80">
                  <c:v>1.61343970927056</c:v>
                </c:pt>
                <c:pt idx="81">
                  <c:v>1.61743970927056</c:v>
                </c:pt>
                <c:pt idx="82">
                  <c:v>1.62143970927056</c:v>
                </c:pt>
                <c:pt idx="83">
                  <c:v>1.62543970927056</c:v>
                </c:pt>
                <c:pt idx="84">
                  <c:v>1.62943970927056</c:v>
                </c:pt>
                <c:pt idx="85">
                  <c:v>1.63343970927056</c:v>
                </c:pt>
                <c:pt idx="86">
                  <c:v>1.63743970927056</c:v>
                </c:pt>
                <c:pt idx="87">
                  <c:v>1.64143970927056</c:v>
                </c:pt>
                <c:pt idx="88">
                  <c:v>1.64543970927056</c:v>
                </c:pt>
                <c:pt idx="89">
                  <c:v>1.64943970927056</c:v>
                </c:pt>
                <c:pt idx="90">
                  <c:v>1.65343970927056</c:v>
                </c:pt>
                <c:pt idx="91">
                  <c:v>1.65743970927056</c:v>
                </c:pt>
                <c:pt idx="92">
                  <c:v>1.66143970927056</c:v>
                </c:pt>
                <c:pt idx="93">
                  <c:v>1.66543970927056</c:v>
                </c:pt>
                <c:pt idx="94">
                  <c:v>1.66943970927056</c:v>
                </c:pt>
                <c:pt idx="95">
                  <c:v>1.67343970927056</c:v>
                </c:pt>
                <c:pt idx="96">
                  <c:v>1.67743970927056</c:v>
                </c:pt>
                <c:pt idx="97">
                  <c:v>1.68143970927056</c:v>
                </c:pt>
                <c:pt idx="98">
                  <c:v>1.68543970927056</c:v>
                </c:pt>
                <c:pt idx="99">
                  <c:v>1.68943970927056</c:v>
                </c:pt>
                <c:pt idx="100">
                  <c:v>1.69343970927056</c:v>
                </c:pt>
                <c:pt idx="101">
                  <c:v>1.69743970927056</c:v>
                </c:pt>
                <c:pt idx="102">
                  <c:v>1.70143970927056</c:v>
                </c:pt>
                <c:pt idx="103">
                  <c:v>1.70543970927056</c:v>
                </c:pt>
                <c:pt idx="104">
                  <c:v>1.70943970927056</c:v>
                </c:pt>
                <c:pt idx="105">
                  <c:v>1.71343970927056</c:v>
                </c:pt>
                <c:pt idx="106">
                  <c:v>1.71743970927056</c:v>
                </c:pt>
                <c:pt idx="107">
                  <c:v>1.72143970927056</c:v>
                </c:pt>
                <c:pt idx="108">
                  <c:v>1.72543970927056</c:v>
                </c:pt>
                <c:pt idx="109">
                  <c:v>1.72943970927056</c:v>
                </c:pt>
                <c:pt idx="110">
                  <c:v>1.73343970927056</c:v>
                </c:pt>
                <c:pt idx="111">
                  <c:v>1.73743970927056</c:v>
                </c:pt>
                <c:pt idx="112">
                  <c:v>1.74143970927056</c:v>
                </c:pt>
                <c:pt idx="113">
                  <c:v>1.74543970927056</c:v>
                </c:pt>
                <c:pt idx="114">
                  <c:v>1.74943970927056</c:v>
                </c:pt>
                <c:pt idx="115">
                  <c:v>1.75343970927056</c:v>
                </c:pt>
                <c:pt idx="116">
                  <c:v>1.75743970927056</c:v>
                </c:pt>
                <c:pt idx="117">
                  <c:v>1.76143970927056</c:v>
                </c:pt>
                <c:pt idx="118">
                  <c:v>1.76543970927056</c:v>
                </c:pt>
                <c:pt idx="119">
                  <c:v>1.76943970927056</c:v>
                </c:pt>
                <c:pt idx="120">
                  <c:v>1.77343970927056</c:v>
                </c:pt>
                <c:pt idx="121">
                  <c:v>1.77743970927056</c:v>
                </c:pt>
                <c:pt idx="122">
                  <c:v>1.78143970927056</c:v>
                </c:pt>
                <c:pt idx="123">
                  <c:v>1.78543970927056</c:v>
                </c:pt>
                <c:pt idx="124">
                  <c:v>1.78943970927056</c:v>
                </c:pt>
                <c:pt idx="125">
                  <c:v>1.79343970927056</c:v>
                </c:pt>
                <c:pt idx="126">
                  <c:v>1.79743970927056</c:v>
                </c:pt>
                <c:pt idx="127">
                  <c:v>1.80143970927056</c:v>
                </c:pt>
                <c:pt idx="128">
                  <c:v>1.80543970927056</c:v>
                </c:pt>
                <c:pt idx="129">
                  <c:v>1.80943970927056</c:v>
                </c:pt>
                <c:pt idx="130">
                  <c:v>1.81343970927056</c:v>
                </c:pt>
                <c:pt idx="131">
                  <c:v>1.81743970927056</c:v>
                </c:pt>
                <c:pt idx="132">
                  <c:v>1.82143970927056</c:v>
                </c:pt>
                <c:pt idx="133">
                  <c:v>1.82543970927056</c:v>
                </c:pt>
                <c:pt idx="134">
                  <c:v>1.82943970927056</c:v>
                </c:pt>
                <c:pt idx="135">
                  <c:v>1.83343970927056</c:v>
                </c:pt>
                <c:pt idx="136">
                  <c:v>1.83743970927056</c:v>
                </c:pt>
                <c:pt idx="137">
                  <c:v>1.84143970927056</c:v>
                </c:pt>
                <c:pt idx="138">
                  <c:v>1.84543970927056</c:v>
                </c:pt>
                <c:pt idx="139">
                  <c:v>1.84943970927056</c:v>
                </c:pt>
                <c:pt idx="140">
                  <c:v>1.85343970927056</c:v>
                </c:pt>
                <c:pt idx="141">
                  <c:v>1.85743970927056</c:v>
                </c:pt>
                <c:pt idx="142">
                  <c:v>1.86143970927056</c:v>
                </c:pt>
                <c:pt idx="143">
                  <c:v>1.86543970927056</c:v>
                </c:pt>
                <c:pt idx="144">
                  <c:v>1.86943970927056</c:v>
                </c:pt>
                <c:pt idx="145">
                  <c:v>1.87343970927056</c:v>
                </c:pt>
                <c:pt idx="146">
                  <c:v>1.87743970927056</c:v>
                </c:pt>
                <c:pt idx="147">
                  <c:v>1.88143970927056</c:v>
                </c:pt>
                <c:pt idx="148">
                  <c:v>1.88543970927056</c:v>
                </c:pt>
                <c:pt idx="149">
                  <c:v>1.88943970927056</c:v>
                </c:pt>
                <c:pt idx="150">
                  <c:v>1.89343970927056</c:v>
                </c:pt>
                <c:pt idx="151">
                  <c:v>1.89743970927056</c:v>
                </c:pt>
                <c:pt idx="152">
                  <c:v>1.90143970927056</c:v>
                </c:pt>
                <c:pt idx="153">
                  <c:v>1.90543970927056</c:v>
                </c:pt>
                <c:pt idx="154">
                  <c:v>1.90943970927056</c:v>
                </c:pt>
                <c:pt idx="155">
                  <c:v>1.91343970927056</c:v>
                </c:pt>
                <c:pt idx="156">
                  <c:v>1.91743970927056</c:v>
                </c:pt>
                <c:pt idx="157">
                  <c:v>1.92143970927056</c:v>
                </c:pt>
                <c:pt idx="158">
                  <c:v>1.92543970927056</c:v>
                </c:pt>
                <c:pt idx="159">
                  <c:v>1.92943970927056</c:v>
                </c:pt>
                <c:pt idx="160">
                  <c:v>1.93343970927056</c:v>
                </c:pt>
                <c:pt idx="161">
                  <c:v>1.93743970927056</c:v>
                </c:pt>
                <c:pt idx="162">
                  <c:v>1.94143970927056</c:v>
                </c:pt>
                <c:pt idx="163">
                  <c:v>1.94543970927056</c:v>
                </c:pt>
                <c:pt idx="164">
                  <c:v>1.94943970927056</c:v>
                </c:pt>
                <c:pt idx="165">
                  <c:v>1.95343970927056</c:v>
                </c:pt>
                <c:pt idx="166">
                  <c:v>1.95743970927056</c:v>
                </c:pt>
                <c:pt idx="167">
                  <c:v>1.96143970927056</c:v>
                </c:pt>
                <c:pt idx="168">
                  <c:v>1.96543970927056</c:v>
                </c:pt>
                <c:pt idx="169">
                  <c:v>1.96943970927056</c:v>
                </c:pt>
                <c:pt idx="170">
                  <c:v>1.97343970927056</c:v>
                </c:pt>
                <c:pt idx="171">
                  <c:v>1.97743970927056</c:v>
                </c:pt>
                <c:pt idx="172">
                  <c:v>1.98143970927056</c:v>
                </c:pt>
                <c:pt idx="173">
                  <c:v>1.98543970927056</c:v>
                </c:pt>
                <c:pt idx="174">
                  <c:v>1.98943970927056</c:v>
                </c:pt>
                <c:pt idx="175">
                  <c:v>1.99343970927056</c:v>
                </c:pt>
                <c:pt idx="176">
                  <c:v>1.99743970927056</c:v>
                </c:pt>
                <c:pt idx="177">
                  <c:v>2.00143970927056</c:v>
                </c:pt>
                <c:pt idx="178">
                  <c:v>2.00543970927056</c:v>
                </c:pt>
                <c:pt idx="179">
                  <c:v>2.00943970927056</c:v>
                </c:pt>
                <c:pt idx="180">
                  <c:v>2.01343970927056</c:v>
                </c:pt>
                <c:pt idx="181">
                  <c:v>2.01743970927056</c:v>
                </c:pt>
                <c:pt idx="182">
                  <c:v>2.02143970927056</c:v>
                </c:pt>
                <c:pt idx="183">
                  <c:v>2.02543970927056</c:v>
                </c:pt>
                <c:pt idx="184">
                  <c:v>2.02943970927056</c:v>
                </c:pt>
                <c:pt idx="185">
                  <c:v>2.03343970927056</c:v>
                </c:pt>
                <c:pt idx="186">
                  <c:v>2.03743970927056</c:v>
                </c:pt>
                <c:pt idx="187">
                  <c:v>2.04143970927056</c:v>
                </c:pt>
                <c:pt idx="188">
                  <c:v>2.04543970927056</c:v>
                </c:pt>
                <c:pt idx="189">
                  <c:v>2.04943970927056</c:v>
                </c:pt>
                <c:pt idx="190">
                  <c:v>2.05343970927056</c:v>
                </c:pt>
                <c:pt idx="191">
                  <c:v>2.05743970927056</c:v>
                </c:pt>
                <c:pt idx="192">
                  <c:v>2.06143970927056</c:v>
                </c:pt>
                <c:pt idx="193">
                  <c:v>2.06543970927056</c:v>
                </c:pt>
                <c:pt idx="194">
                  <c:v>2.06943970927056</c:v>
                </c:pt>
                <c:pt idx="195">
                  <c:v>2.07343970927056</c:v>
                </c:pt>
                <c:pt idx="196">
                  <c:v>2.07743970927056</c:v>
                </c:pt>
                <c:pt idx="197">
                  <c:v>2.08143970927056</c:v>
                </c:pt>
                <c:pt idx="198">
                  <c:v>2.08543970927056</c:v>
                </c:pt>
                <c:pt idx="199">
                  <c:v>2.08943970927056</c:v>
                </c:pt>
                <c:pt idx="200">
                  <c:v>2.09343970927056</c:v>
                </c:pt>
              </c:numCache>
            </c:numRef>
          </c:val>
        </c:ser>
        <c:ser>
          <c:idx val="1"/>
          <c:order val="1"/>
          <c:tx>
            <c:v>NH₃ · NG-fired cracker</c:v>
          </c:tx>
          <c:spPr>
            <a:ln w="31750">
              <a:solidFill>
                <a:srgbClr val="00C8E8"/>
              </a:solidFill>
            </a:ln>
          </c:spPr>
          <c:marker>
            <c:symbol val="none"/>
          </c:marker>
          <c:cat>
            <c:strRef>
              <c:f>'Energy Cost'!$I$101:$I$301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'Energy Cost'!$D$101:$D$301</c:f>
              <c:numCache>
                <c:formatCode>General</c:formatCode>
                <c:ptCount val="201"/>
                <c:pt idx="0">
                  <c:v>1.0411380717848</c:v>
                </c:pt>
                <c:pt idx="1">
                  <c:v>1.0411380717848</c:v>
                </c:pt>
                <c:pt idx="2">
                  <c:v>1.0411380717848</c:v>
                </c:pt>
                <c:pt idx="3">
                  <c:v>1.0411380717848</c:v>
                </c:pt>
                <c:pt idx="4">
                  <c:v>1.0411380717848</c:v>
                </c:pt>
                <c:pt idx="5">
                  <c:v>1.0411380717848</c:v>
                </c:pt>
                <c:pt idx="6">
                  <c:v>1.0411380717848</c:v>
                </c:pt>
                <c:pt idx="7">
                  <c:v>1.0411380717848</c:v>
                </c:pt>
                <c:pt idx="8">
                  <c:v>1.0411380717848</c:v>
                </c:pt>
                <c:pt idx="9">
                  <c:v>1.0411380717848</c:v>
                </c:pt>
                <c:pt idx="10">
                  <c:v>1.0411380717848</c:v>
                </c:pt>
                <c:pt idx="11">
                  <c:v>1.0411380717848</c:v>
                </c:pt>
                <c:pt idx="12">
                  <c:v>1.0411380717848</c:v>
                </c:pt>
                <c:pt idx="13">
                  <c:v>1.0411380717848</c:v>
                </c:pt>
                <c:pt idx="14">
                  <c:v>1.0411380717848</c:v>
                </c:pt>
                <c:pt idx="15">
                  <c:v>1.0411380717848</c:v>
                </c:pt>
                <c:pt idx="16">
                  <c:v>1.0411380717848</c:v>
                </c:pt>
                <c:pt idx="17">
                  <c:v>1.0411380717848</c:v>
                </c:pt>
                <c:pt idx="18">
                  <c:v>1.0411380717848</c:v>
                </c:pt>
                <c:pt idx="19">
                  <c:v>1.0411380717848</c:v>
                </c:pt>
                <c:pt idx="20">
                  <c:v>1.0411380717848</c:v>
                </c:pt>
                <c:pt idx="21">
                  <c:v>1.0411380717848</c:v>
                </c:pt>
                <c:pt idx="22">
                  <c:v>1.0411380717848</c:v>
                </c:pt>
                <c:pt idx="23">
                  <c:v>1.0411380717848</c:v>
                </c:pt>
                <c:pt idx="24">
                  <c:v>1.0411380717848</c:v>
                </c:pt>
                <c:pt idx="25">
                  <c:v>1.0411380717848</c:v>
                </c:pt>
                <c:pt idx="26">
                  <c:v>1.0411380717848</c:v>
                </c:pt>
                <c:pt idx="27">
                  <c:v>1.0411380717848</c:v>
                </c:pt>
                <c:pt idx="28">
                  <c:v>1.0411380717848</c:v>
                </c:pt>
                <c:pt idx="29">
                  <c:v>1.0411380717848</c:v>
                </c:pt>
                <c:pt idx="30">
                  <c:v>1.0411380717848</c:v>
                </c:pt>
                <c:pt idx="31">
                  <c:v>1.0411380717848</c:v>
                </c:pt>
                <c:pt idx="32">
                  <c:v>1.0411380717848</c:v>
                </c:pt>
                <c:pt idx="33">
                  <c:v>1.0411380717848</c:v>
                </c:pt>
                <c:pt idx="34">
                  <c:v>1.0411380717848</c:v>
                </c:pt>
                <c:pt idx="35">
                  <c:v>1.0411380717848</c:v>
                </c:pt>
                <c:pt idx="36">
                  <c:v>1.0411380717848</c:v>
                </c:pt>
                <c:pt idx="37">
                  <c:v>1.0411380717848</c:v>
                </c:pt>
                <c:pt idx="38">
                  <c:v>1.0411380717848</c:v>
                </c:pt>
                <c:pt idx="39">
                  <c:v>1.0411380717848</c:v>
                </c:pt>
                <c:pt idx="40">
                  <c:v>1.0411380717848</c:v>
                </c:pt>
                <c:pt idx="41">
                  <c:v>1.0411380717848</c:v>
                </c:pt>
                <c:pt idx="42">
                  <c:v>1.0411380717848</c:v>
                </c:pt>
                <c:pt idx="43">
                  <c:v>1.0411380717848</c:v>
                </c:pt>
                <c:pt idx="44">
                  <c:v>1.0411380717848</c:v>
                </c:pt>
                <c:pt idx="45">
                  <c:v>1.0411380717848</c:v>
                </c:pt>
                <c:pt idx="46">
                  <c:v>1.0411380717848</c:v>
                </c:pt>
                <c:pt idx="47">
                  <c:v>1.0411380717848</c:v>
                </c:pt>
                <c:pt idx="48">
                  <c:v>1.0411380717848</c:v>
                </c:pt>
                <c:pt idx="49">
                  <c:v>1.0411380717848</c:v>
                </c:pt>
                <c:pt idx="50">
                  <c:v>1.0411380717848</c:v>
                </c:pt>
                <c:pt idx="51">
                  <c:v>1.0411380717848</c:v>
                </c:pt>
                <c:pt idx="52">
                  <c:v>1.0411380717848</c:v>
                </c:pt>
                <c:pt idx="53">
                  <c:v>1.0411380717848</c:v>
                </c:pt>
                <c:pt idx="54">
                  <c:v>1.0411380717848</c:v>
                </c:pt>
                <c:pt idx="55">
                  <c:v>1.0411380717848</c:v>
                </c:pt>
                <c:pt idx="56">
                  <c:v>1.0411380717848</c:v>
                </c:pt>
                <c:pt idx="57">
                  <c:v>1.0411380717848</c:v>
                </c:pt>
                <c:pt idx="58">
                  <c:v>1.0411380717848</c:v>
                </c:pt>
                <c:pt idx="59">
                  <c:v>1.0411380717848</c:v>
                </c:pt>
                <c:pt idx="60">
                  <c:v>1.0411380717848</c:v>
                </c:pt>
                <c:pt idx="61">
                  <c:v>1.0411380717848</c:v>
                </c:pt>
                <c:pt idx="62">
                  <c:v>1.0411380717848</c:v>
                </c:pt>
                <c:pt idx="63">
                  <c:v>1.0411380717848</c:v>
                </c:pt>
                <c:pt idx="64">
                  <c:v>1.0411380717848</c:v>
                </c:pt>
                <c:pt idx="65">
                  <c:v>1.0411380717848</c:v>
                </c:pt>
                <c:pt idx="66">
                  <c:v>1.0411380717848</c:v>
                </c:pt>
                <c:pt idx="67">
                  <c:v>1.0411380717848</c:v>
                </c:pt>
                <c:pt idx="68">
                  <c:v>1.0411380717848</c:v>
                </c:pt>
                <c:pt idx="69">
                  <c:v>1.0411380717848</c:v>
                </c:pt>
                <c:pt idx="70">
                  <c:v>1.0411380717848</c:v>
                </c:pt>
                <c:pt idx="71">
                  <c:v>1.0411380717848</c:v>
                </c:pt>
                <c:pt idx="72">
                  <c:v>1.0411380717848</c:v>
                </c:pt>
                <c:pt idx="73">
                  <c:v>1.0411380717848</c:v>
                </c:pt>
                <c:pt idx="74">
                  <c:v>1.0411380717848</c:v>
                </c:pt>
                <c:pt idx="75">
                  <c:v>1.0411380717848</c:v>
                </c:pt>
                <c:pt idx="76">
                  <c:v>1.0411380717848</c:v>
                </c:pt>
                <c:pt idx="77">
                  <c:v>1.0411380717848</c:v>
                </c:pt>
                <c:pt idx="78">
                  <c:v>1.0411380717848</c:v>
                </c:pt>
                <c:pt idx="79">
                  <c:v>1.0411380717848</c:v>
                </c:pt>
                <c:pt idx="80">
                  <c:v>1.0411380717848</c:v>
                </c:pt>
                <c:pt idx="81">
                  <c:v>1.0411380717848</c:v>
                </c:pt>
                <c:pt idx="82">
                  <c:v>1.0411380717848</c:v>
                </c:pt>
                <c:pt idx="83">
                  <c:v>1.0411380717848</c:v>
                </c:pt>
                <c:pt idx="84">
                  <c:v>1.0411380717848</c:v>
                </c:pt>
                <c:pt idx="85">
                  <c:v>1.0411380717848</c:v>
                </c:pt>
                <c:pt idx="86">
                  <c:v>1.0411380717848</c:v>
                </c:pt>
                <c:pt idx="87">
                  <c:v>1.0411380717848</c:v>
                </c:pt>
                <c:pt idx="88">
                  <c:v>1.0411380717848</c:v>
                </c:pt>
                <c:pt idx="89">
                  <c:v>1.0411380717848</c:v>
                </c:pt>
                <c:pt idx="90">
                  <c:v>1.0411380717848</c:v>
                </c:pt>
                <c:pt idx="91">
                  <c:v>1.0411380717848</c:v>
                </c:pt>
                <c:pt idx="92">
                  <c:v>1.0411380717848</c:v>
                </c:pt>
                <c:pt idx="93">
                  <c:v>1.0411380717848</c:v>
                </c:pt>
                <c:pt idx="94">
                  <c:v>1.0411380717848</c:v>
                </c:pt>
                <c:pt idx="95">
                  <c:v>1.0411380717848</c:v>
                </c:pt>
                <c:pt idx="96">
                  <c:v>1.0411380717848</c:v>
                </c:pt>
                <c:pt idx="97">
                  <c:v>1.0411380717848</c:v>
                </c:pt>
                <c:pt idx="98">
                  <c:v>1.0411380717848</c:v>
                </c:pt>
                <c:pt idx="99">
                  <c:v>1.0411380717848</c:v>
                </c:pt>
                <c:pt idx="100">
                  <c:v>1.0411380717848</c:v>
                </c:pt>
                <c:pt idx="101">
                  <c:v>1.0411380717848</c:v>
                </c:pt>
                <c:pt idx="102">
                  <c:v>1.0411380717848</c:v>
                </c:pt>
                <c:pt idx="103">
                  <c:v>1.0411380717848</c:v>
                </c:pt>
                <c:pt idx="104">
                  <c:v>1.0411380717848</c:v>
                </c:pt>
                <c:pt idx="105">
                  <c:v>1.0411380717848</c:v>
                </c:pt>
                <c:pt idx="106">
                  <c:v>1.0411380717848</c:v>
                </c:pt>
                <c:pt idx="107">
                  <c:v>1.0411380717848</c:v>
                </c:pt>
                <c:pt idx="108">
                  <c:v>1.0411380717848</c:v>
                </c:pt>
                <c:pt idx="109">
                  <c:v>1.0411380717848</c:v>
                </c:pt>
                <c:pt idx="110">
                  <c:v>1.0411380717848</c:v>
                </c:pt>
                <c:pt idx="111">
                  <c:v>1.0411380717848</c:v>
                </c:pt>
                <c:pt idx="112">
                  <c:v>1.0411380717848</c:v>
                </c:pt>
                <c:pt idx="113">
                  <c:v>1.0411380717848</c:v>
                </c:pt>
                <c:pt idx="114">
                  <c:v>1.0411380717848</c:v>
                </c:pt>
                <c:pt idx="115">
                  <c:v>1.0411380717848</c:v>
                </c:pt>
                <c:pt idx="116">
                  <c:v>1.0411380717848</c:v>
                </c:pt>
                <c:pt idx="117">
                  <c:v>1.0411380717848</c:v>
                </c:pt>
                <c:pt idx="118">
                  <c:v>1.0411380717848</c:v>
                </c:pt>
                <c:pt idx="119">
                  <c:v>1.0411380717848</c:v>
                </c:pt>
                <c:pt idx="120">
                  <c:v>1.0411380717848</c:v>
                </c:pt>
                <c:pt idx="121">
                  <c:v>1.0411380717848</c:v>
                </c:pt>
                <c:pt idx="122">
                  <c:v>1.0411380717848</c:v>
                </c:pt>
                <c:pt idx="123">
                  <c:v>1.0411380717848</c:v>
                </c:pt>
                <c:pt idx="124">
                  <c:v>1.0411380717848</c:v>
                </c:pt>
                <c:pt idx="125">
                  <c:v>1.0411380717848</c:v>
                </c:pt>
                <c:pt idx="126">
                  <c:v>1.0411380717848</c:v>
                </c:pt>
                <c:pt idx="127">
                  <c:v>1.0411380717848</c:v>
                </c:pt>
                <c:pt idx="128">
                  <c:v>1.0411380717848</c:v>
                </c:pt>
                <c:pt idx="129">
                  <c:v>1.0411380717848</c:v>
                </c:pt>
                <c:pt idx="130">
                  <c:v>1.0411380717848</c:v>
                </c:pt>
                <c:pt idx="131">
                  <c:v>1.0411380717848</c:v>
                </c:pt>
                <c:pt idx="132">
                  <c:v>1.0411380717848</c:v>
                </c:pt>
                <c:pt idx="133">
                  <c:v>1.0411380717848</c:v>
                </c:pt>
                <c:pt idx="134">
                  <c:v>1.0411380717848</c:v>
                </c:pt>
                <c:pt idx="135">
                  <c:v>1.0411380717848</c:v>
                </c:pt>
                <c:pt idx="136">
                  <c:v>1.0411380717848</c:v>
                </c:pt>
                <c:pt idx="137">
                  <c:v>1.0411380717848</c:v>
                </c:pt>
                <c:pt idx="138">
                  <c:v>1.0411380717848</c:v>
                </c:pt>
                <c:pt idx="139">
                  <c:v>1.0411380717848</c:v>
                </c:pt>
                <c:pt idx="140">
                  <c:v>1.0411380717848</c:v>
                </c:pt>
                <c:pt idx="141">
                  <c:v>1.0411380717848</c:v>
                </c:pt>
                <c:pt idx="142">
                  <c:v>1.0411380717848</c:v>
                </c:pt>
                <c:pt idx="143">
                  <c:v>1.0411380717848</c:v>
                </c:pt>
                <c:pt idx="144">
                  <c:v>1.0411380717848</c:v>
                </c:pt>
                <c:pt idx="145">
                  <c:v>1.0411380717848</c:v>
                </c:pt>
                <c:pt idx="146">
                  <c:v>1.0411380717848</c:v>
                </c:pt>
                <c:pt idx="147">
                  <c:v>1.0411380717848</c:v>
                </c:pt>
                <c:pt idx="148">
                  <c:v>1.0411380717848</c:v>
                </c:pt>
                <c:pt idx="149">
                  <c:v>1.0411380717848</c:v>
                </c:pt>
                <c:pt idx="150">
                  <c:v>1.0411380717848</c:v>
                </c:pt>
                <c:pt idx="151">
                  <c:v>1.0411380717848</c:v>
                </c:pt>
                <c:pt idx="152">
                  <c:v>1.0411380717848</c:v>
                </c:pt>
                <c:pt idx="153">
                  <c:v>1.0411380717848</c:v>
                </c:pt>
                <c:pt idx="154">
                  <c:v>1.0411380717848</c:v>
                </c:pt>
                <c:pt idx="155">
                  <c:v>1.0411380717848</c:v>
                </c:pt>
                <c:pt idx="156">
                  <c:v>1.0411380717848</c:v>
                </c:pt>
                <c:pt idx="157">
                  <c:v>1.0411380717848</c:v>
                </c:pt>
                <c:pt idx="158">
                  <c:v>1.0411380717848</c:v>
                </c:pt>
                <c:pt idx="159">
                  <c:v>1.0411380717848</c:v>
                </c:pt>
                <c:pt idx="160">
                  <c:v>1.0411380717848</c:v>
                </c:pt>
                <c:pt idx="161">
                  <c:v>1.0411380717848</c:v>
                </c:pt>
                <c:pt idx="162">
                  <c:v>1.0411380717848</c:v>
                </c:pt>
                <c:pt idx="163">
                  <c:v>1.0411380717848</c:v>
                </c:pt>
                <c:pt idx="164">
                  <c:v>1.0411380717848</c:v>
                </c:pt>
                <c:pt idx="165">
                  <c:v>1.0411380717848</c:v>
                </c:pt>
                <c:pt idx="166">
                  <c:v>1.0411380717848</c:v>
                </c:pt>
                <c:pt idx="167">
                  <c:v>1.0411380717848</c:v>
                </c:pt>
                <c:pt idx="168">
                  <c:v>1.0411380717848</c:v>
                </c:pt>
                <c:pt idx="169">
                  <c:v>1.0411380717848</c:v>
                </c:pt>
                <c:pt idx="170">
                  <c:v>1.0411380717848</c:v>
                </c:pt>
                <c:pt idx="171">
                  <c:v>1.0411380717848</c:v>
                </c:pt>
                <c:pt idx="172">
                  <c:v>1.0411380717848</c:v>
                </c:pt>
                <c:pt idx="173">
                  <c:v>1.0411380717848</c:v>
                </c:pt>
                <c:pt idx="174">
                  <c:v>1.0411380717848</c:v>
                </c:pt>
                <c:pt idx="175">
                  <c:v>1.0411380717848</c:v>
                </c:pt>
                <c:pt idx="176">
                  <c:v>1.0411380717848</c:v>
                </c:pt>
                <c:pt idx="177">
                  <c:v>1.0411380717848</c:v>
                </c:pt>
                <c:pt idx="178">
                  <c:v>1.0411380717848</c:v>
                </c:pt>
                <c:pt idx="179">
                  <c:v>1.0411380717848</c:v>
                </c:pt>
                <c:pt idx="180">
                  <c:v>1.0411380717848</c:v>
                </c:pt>
                <c:pt idx="181">
                  <c:v>1.0411380717848</c:v>
                </c:pt>
                <c:pt idx="182">
                  <c:v>1.0411380717848</c:v>
                </c:pt>
                <c:pt idx="183">
                  <c:v>1.0411380717848</c:v>
                </c:pt>
                <c:pt idx="184">
                  <c:v>1.0411380717848</c:v>
                </c:pt>
                <c:pt idx="185">
                  <c:v>1.0411380717848</c:v>
                </c:pt>
                <c:pt idx="186">
                  <c:v>1.0411380717848</c:v>
                </c:pt>
                <c:pt idx="187">
                  <c:v>1.0411380717848</c:v>
                </c:pt>
                <c:pt idx="188">
                  <c:v>1.0411380717848</c:v>
                </c:pt>
                <c:pt idx="189">
                  <c:v>1.0411380717848</c:v>
                </c:pt>
                <c:pt idx="190">
                  <c:v>1.0411380717848</c:v>
                </c:pt>
                <c:pt idx="191">
                  <c:v>1.0411380717848</c:v>
                </c:pt>
                <c:pt idx="192">
                  <c:v>1.0411380717848</c:v>
                </c:pt>
                <c:pt idx="193">
                  <c:v>1.0411380717848</c:v>
                </c:pt>
                <c:pt idx="194">
                  <c:v>1.0411380717848</c:v>
                </c:pt>
                <c:pt idx="195">
                  <c:v>1.0411380717848</c:v>
                </c:pt>
                <c:pt idx="196">
                  <c:v>1.0411380717848</c:v>
                </c:pt>
                <c:pt idx="197">
                  <c:v>1.0411380717848</c:v>
                </c:pt>
                <c:pt idx="198">
                  <c:v>1.0411380717848</c:v>
                </c:pt>
                <c:pt idx="199">
                  <c:v>1.0411380717848</c:v>
                </c:pt>
                <c:pt idx="200">
                  <c:v>1.0411380717848</c:v>
                </c:pt>
              </c:numCache>
            </c:numRef>
          </c:val>
        </c:ser>
        <c:ser>
          <c:idx val="2"/>
          <c:order val="2"/>
          <c:tx>
            <c:v>NH₃ · clean-fuel cracker</c:v>
          </c:tx>
          <c:spPr>
            <a:ln w="25400">
              <a:solidFill>
                <a:srgbClr val="00C8E8"/>
              </a:solidFill>
              <a:prstDash val="dash"/>
            </a:ln>
          </c:spPr>
          <c:marker>
            <c:symbol val="none"/>
          </c:marker>
          <c:cat>
            <c:strRef>
              <c:f>'Energy Cost'!$I$101:$I$301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'Energy Cost'!$E$101:$E$301</c:f>
              <c:numCache>
                <c:formatCode>General</c:formatCode>
                <c:ptCount val="201"/>
                <c:pt idx="0">
                  <c:v>1.22786480392051</c:v>
                </c:pt>
                <c:pt idx="1">
                  <c:v>1.22786480392051</c:v>
                </c:pt>
                <c:pt idx="2">
                  <c:v>1.22786480392051</c:v>
                </c:pt>
                <c:pt idx="3">
                  <c:v>1.22786480392051</c:v>
                </c:pt>
                <c:pt idx="4">
                  <c:v>1.22786480392051</c:v>
                </c:pt>
                <c:pt idx="5">
                  <c:v>1.22786480392051</c:v>
                </c:pt>
                <c:pt idx="6">
                  <c:v>1.22786480392051</c:v>
                </c:pt>
                <c:pt idx="7">
                  <c:v>1.22786480392051</c:v>
                </c:pt>
                <c:pt idx="8">
                  <c:v>1.22786480392051</c:v>
                </c:pt>
                <c:pt idx="9">
                  <c:v>1.22786480392051</c:v>
                </c:pt>
                <c:pt idx="10">
                  <c:v>1.22786480392051</c:v>
                </c:pt>
                <c:pt idx="11">
                  <c:v>1.22786480392051</c:v>
                </c:pt>
                <c:pt idx="12">
                  <c:v>1.22786480392051</c:v>
                </c:pt>
                <c:pt idx="13">
                  <c:v>1.22786480392051</c:v>
                </c:pt>
                <c:pt idx="14">
                  <c:v>1.22786480392051</c:v>
                </c:pt>
                <c:pt idx="15">
                  <c:v>1.22786480392051</c:v>
                </c:pt>
                <c:pt idx="16">
                  <c:v>1.22786480392051</c:v>
                </c:pt>
                <c:pt idx="17">
                  <c:v>1.22786480392051</c:v>
                </c:pt>
                <c:pt idx="18">
                  <c:v>1.22786480392051</c:v>
                </c:pt>
                <c:pt idx="19">
                  <c:v>1.22786480392051</c:v>
                </c:pt>
                <c:pt idx="20">
                  <c:v>1.22786480392051</c:v>
                </c:pt>
                <c:pt idx="21">
                  <c:v>1.22786480392051</c:v>
                </c:pt>
                <c:pt idx="22">
                  <c:v>1.22786480392051</c:v>
                </c:pt>
                <c:pt idx="23">
                  <c:v>1.22786480392051</c:v>
                </c:pt>
                <c:pt idx="24">
                  <c:v>1.22786480392051</c:v>
                </c:pt>
                <c:pt idx="25">
                  <c:v>1.22786480392051</c:v>
                </c:pt>
                <c:pt idx="26">
                  <c:v>1.22786480392051</c:v>
                </c:pt>
                <c:pt idx="27">
                  <c:v>1.22786480392051</c:v>
                </c:pt>
                <c:pt idx="28">
                  <c:v>1.22786480392051</c:v>
                </c:pt>
                <c:pt idx="29">
                  <c:v>1.22786480392051</c:v>
                </c:pt>
                <c:pt idx="30">
                  <c:v>1.22786480392051</c:v>
                </c:pt>
                <c:pt idx="31">
                  <c:v>1.22786480392051</c:v>
                </c:pt>
                <c:pt idx="32">
                  <c:v>1.22786480392051</c:v>
                </c:pt>
                <c:pt idx="33">
                  <c:v>1.22786480392051</c:v>
                </c:pt>
                <c:pt idx="34">
                  <c:v>1.22786480392051</c:v>
                </c:pt>
                <c:pt idx="35">
                  <c:v>1.22786480392051</c:v>
                </c:pt>
                <c:pt idx="36">
                  <c:v>1.22786480392051</c:v>
                </c:pt>
                <c:pt idx="37">
                  <c:v>1.22786480392051</c:v>
                </c:pt>
                <c:pt idx="38">
                  <c:v>1.22786480392051</c:v>
                </c:pt>
                <c:pt idx="39">
                  <c:v>1.22786480392051</c:v>
                </c:pt>
                <c:pt idx="40">
                  <c:v>1.22786480392051</c:v>
                </c:pt>
                <c:pt idx="41">
                  <c:v>1.22786480392051</c:v>
                </c:pt>
                <c:pt idx="42">
                  <c:v>1.22786480392051</c:v>
                </c:pt>
                <c:pt idx="43">
                  <c:v>1.22786480392051</c:v>
                </c:pt>
                <c:pt idx="44">
                  <c:v>1.22786480392051</c:v>
                </c:pt>
                <c:pt idx="45">
                  <c:v>1.22786480392051</c:v>
                </c:pt>
                <c:pt idx="46">
                  <c:v>1.22786480392051</c:v>
                </c:pt>
                <c:pt idx="47">
                  <c:v>1.22786480392051</c:v>
                </c:pt>
                <c:pt idx="48">
                  <c:v>1.22786480392051</c:v>
                </c:pt>
                <c:pt idx="49">
                  <c:v>1.22786480392051</c:v>
                </c:pt>
                <c:pt idx="50">
                  <c:v>1.22786480392051</c:v>
                </c:pt>
                <c:pt idx="51">
                  <c:v>1.22786480392051</c:v>
                </c:pt>
                <c:pt idx="52">
                  <c:v>1.22786480392051</c:v>
                </c:pt>
                <c:pt idx="53">
                  <c:v>1.22786480392051</c:v>
                </c:pt>
                <c:pt idx="54">
                  <c:v>1.22786480392051</c:v>
                </c:pt>
                <c:pt idx="55">
                  <c:v>1.22786480392051</c:v>
                </c:pt>
                <c:pt idx="56">
                  <c:v>1.22786480392051</c:v>
                </c:pt>
                <c:pt idx="57">
                  <c:v>1.22786480392051</c:v>
                </c:pt>
                <c:pt idx="58">
                  <c:v>1.22786480392051</c:v>
                </c:pt>
                <c:pt idx="59">
                  <c:v>1.22786480392051</c:v>
                </c:pt>
                <c:pt idx="60">
                  <c:v>1.22786480392051</c:v>
                </c:pt>
                <c:pt idx="61">
                  <c:v>1.22786480392051</c:v>
                </c:pt>
                <c:pt idx="62">
                  <c:v>1.22786480392051</c:v>
                </c:pt>
                <c:pt idx="63">
                  <c:v>1.22786480392051</c:v>
                </c:pt>
                <c:pt idx="64">
                  <c:v>1.22786480392051</c:v>
                </c:pt>
                <c:pt idx="65">
                  <c:v>1.22786480392051</c:v>
                </c:pt>
                <c:pt idx="66">
                  <c:v>1.22786480392051</c:v>
                </c:pt>
                <c:pt idx="67">
                  <c:v>1.22786480392051</c:v>
                </c:pt>
                <c:pt idx="68">
                  <c:v>1.22786480392051</c:v>
                </c:pt>
                <c:pt idx="69">
                  <c:v>1.22786480392051</c:v>
                </c:pt>
                <c:pt idx="70">
                  <c:v>1.22786480392051</c:v>
                </c:pt>
                <c:pt idx="71">
                  <c:v>1.22786480392051</c:v>
                </c:pt>
                <c:pt idx="72">
                  <c:v>1.22786480392051</c:v>
                </c:pt>
                <c:pt idx="73">
                  <c:v>1.22786480392051</c:v>
                </c:pt>
                <c:pt idx="74">
                  <c:v>1.22786480392051</c:v>
                </c:pt>
                <c:pt idx="75">
                  <c:v>1.22786480392051</c:v>
                </c:pt>
                <c:pt idx="76">
                  <c:v>1.22786480392051</c:v>
                </c:pt>
                <c:pt idx="77">
                  <c:v>1.22786480392051</c:v>
                </c:pt>
                <c:pt idx="78">
                  <c:v>1.22786480392051</c:v>
                </c:pt>
                <c:pt idx="79">
                  <c:v>1.22786480392051</c:v>
                </c:pt>
                <c:pt idx="80">
                  <c:v>1.22786480392051</c:v>
                </c:pt>
                <c:pt idx="81">
                  <c:v>1.22786480392051</c:v>
                </c:pt>
                <c:pt idx="82">
                  <c:v>1.22786480392051</c:v>
                </c:pt>
                <c:pt idx="83">
                  <c:v>1.22786480392051</c:v>
                </c:pt>
                <c:pt idx="84">
                  <c:v>1.22786480392051</c:v>
                </c:pt>
                <c:pt idx="85">
                  <c:v>1.22786480392051</c:v>
                </c:pt>
                <c:pt idx="86">
                  <c:v>1.22786480392051</c:v>
                </c:pt>
                <c:pt idx="87">
                  <c:v>1.22786480392051</c:v>
                </c:pt>
                <c:pt idx="88">
                  <c:v>1.22786480392051</c:v>
                </c:pt>
                <c:pt idx="89">
                  <c:v>1.22786480392051</c:v>
                </c:pt>
                <c:pt idx="90">
                  <c:v>1.22786480392051</c:v>
                </c:pt>
                <c:pt idx="91">
                  <c:v>1.22786480392051</c:v>
                </c:pt>
                <c:pt idx="92">
                  <c:v>1.22786480392051</c:v>
                </c:pt>
                <c:pt idx="93">
                  <c:v>1.22786480392051</c:v>
                </c:pt>
                <c:pt idx="94">
                  <c:v>1.22786480392051</c:v>
                </c:pt>
                <c:pt idx="95">
                  <c:v>1.22786480392051</c:v>
                </c:pt>
                <c:pt idx="96">
                  <c:v>1.22786480392051</c:v>
                </c:pt>
                <c:pt idx="97">
                  <c:v>1.22786480392051</c:v>
                </c:pt>
                <c:pt idx="98">
                  <c:v>1.22786480392051</c:v>
                </c:pt>
                <c:pt idx="99">
                  <c:v>1.22786480392051</c:v>
                </c:pt>
                <c:pt idx="100">
                  <c:v>1.22786480392051</c:v>
                </c:pt>
                <c:pt idx="101">
                  <c:v>1.22786480392051</c:v>
                </c:pt>
                <c:pt idx="102">
                  <c:v>1.22786480392051</c:v>
                </c:pt>
                <c:pt idx="103">
                  <c:v>1.22786480392051</c:v>
                </c:pt>
                <c:pt idx="104">
                  <c:v>1.22786480392051</c:v>
                </c:pt>
                <c:pt idx="105">
                  <c:v>1.22786480392051</c:v>
                </c:pt>
                <c:pt idx="106">
                  <c:v>1.22786480392051</c:v>
                </c:pt>
                <c:pt idx="107">
                  <c:v>1.22786480392051</c:v>
                </c:pt>
                <c:pt idx="108">
                  <c:v>1.22786480392051</c:v>
                </c:pt>
                <c:pt idx="109">
                  <c:v>1.22786480392051</c:v>
                </c:pt>
                <c:pt idx="110">
                  <c:v>1.22786480392051</c:v>
                </c:pt>
                <c:pt idx="111">
                  <c:v>1.22786480392051</c:v>
                </c:pt>
                <c:pt idx="112">
                  <c:v>1.22786480392051</c:v>
                </c:pt>
                <c:pt idx="113">
                  <c:v>1.22786480392051</c:v>
                </c:pt>
                <c:pt idx="114">
                  <c:v>1.22786480392051</c:v>
                </c:pt>
                <c:pt idx="115">
                  <c:v>1.22786480392051</c:v>
                </c:pt>
                <c:pt idx="116">
                  <c:v>1.22786480392051</c:v>
                </c:pt>
                <c:pt idx="117">
                  <c:v>1.22786480392051</c:v>
                </c:pt>
                <c:pt idx="118">
                  <c:v>1.22786480392051</c:v>
                </c:pt>
                <c:pt idx="119">
                  <c:v>1.22786480392051</c:v>
                </c:pt>
                <c:pt idx="120">
                  <c:v>1.22786480392051</c:v>
                </c:pt>
                <c:pt idx="121">
                  <c:v>1.22786480392051</c:v>
                </c:pt>
                <c:pt idx="122">
                  <c:v>1.22786480392051</c:v>
                </c:pt>
                <c:pt idx="123">
                  <c:v>1.22786480392051</c:v>
                </c:pt>
                <c:pt idx="124">
                  <c:v>1.22786480392051</c:v>
                </c:pt>
                <c:pt idx="125">
                  <c:v>1.22786480392051</c:v>
                </c:pt>
                <c:pt idx="126">
                  <c:v>1.22786480392051</c:v>
                </c:pt>
                <c:pt idx="127">
                  <c:v>1.22786480392051</c:v>
                </c:pt>
                <c:pt idx="128">
                  <c:v>1.22786480392051</c:v>
                </c:pt>
                <c:pt idx="129">
                  <c:v>1.22786480392051</c:v>
                </c:pt>
                <c:pt idx="130">
                  <c:v>1.22786480392051</c:v>
                </c:pt>
                <c:pt idx="131">
                  <c:v>1.22786480392051</c:v>
                </c:pt>
                <c:pt idx="132">
                  <c:v>1.22786480392051</c:v>
                </c:pt>
                <c:pt idx="133">
                  <c:v>1.22786480392051</c:v>
                </c:pt>
                <c:pt idx="134">
                  <c:v>1.22786480392051</c:v>
                </c:pt>
                <c:pt idx="135">
                  <c:v>1.22786480392051</c:v>
                </c:pt>
                <c:pt idx="136">
                  <c:v>1.22786480392051</c:v>
                </c:pt>
                <c:pt idx="137">
                  <c:v>1.22786480392051</c:v>
                </c:pt>
                <c:pt idx="138">
                  <c:v>1.22786480392051</c:v>
                </c:pt>
                <c:pt idx="139">
                  <c:v>1.22786480392051</c:v>
                </c:pt>
                <c:pt idx="140">
                  <c:v>1.22786480392051</c:v>
                </c:pt>
                <c:pt idx="141">
                  <c:v>1.22786480392051</c:v>
                </c:pt>
                <c:pt idx="142">
                  <c:v>1.22786480392051</c:v>
                </c:pt>
                <c:pt idx="143">
                  <c:v>1.22786480392051</c:v>
                </c:pt>
                <c:pt idx="144">
                  <c:v>1.22786480392051</c:v>
                </c:pt>
                <c:pt idx="145">
                  <c:v>1.22786480392051</c:v>
                </c:pt>
                <c:pt idx="146">
                  <c:v>1.22786480392051</c:v>
                </c:pt>
                <c:pt idx="147">
                  <c:v>1.22786480392051</c:v>
                </c:pt>
                <c:pt idx="148">
                  <c:v>1.22786480392051</c:v>
                </c:pt>
                <c:pt idx="149">
                  <c:v>1.22786480392051</c:v>
                </c:pt>
                <c:pt idx="150">
                  <c:v>1.22786480392051</c:v>
                </c:pt>
                <c:pt idx="151">
                  <c:v>1.22786480392051</c:v>
                </c:pt>
                <c:pt idx="152">
                  <c:v>1.22786480392051</c:v>
                </c:pt>
                <c:pt idx="153">
                  <c:v>1.22786480392051</c:v>
                </c:pt>
                <c:pt idx="154">
                  <c:v>1.22786480392051</c:v>
                </c:pt>
                <c:pt idx="155">
                  <c:v>1.22786480392051</c:v>
                </c:pt>
                <c:pt idx="156">
                  <c:v>1.22786480392051</c:v>
                </c:pt>
                <c:pt idx="157">
                  <c:v>1.22786480392051</c:v>
                </c:pt>
                <c:pt idx="158">
                  <c:v>1.22786480392051</c:v>
                </c:pt>
                <c:pt idx="159">
                  <c:v>1.22786480392051</c:v>
                </c:pt>
                <c:pt idx="160">
                  <c:v>1.22786480392051</c:v>
                </c:pt>
                <c:pt idx="161">
                  <c:v>1.22786480392051</c:v>
                </c:pt>
                <c:pt idx="162">
                  <c:v>1.22786480392051</c:v>
                </c:pt>
                <c:pt idx="163">
                  <c:v>1.22786480392051</c:v>
                </c:pt>
                <c:pt idx="164">
                  <c:v>1.22786480392051</c:v>
                </c:pt>
                <c:pt idx="165">
                  <c:v>1.22786480392051</c:v>
                </c:pt>
                <c:pt idx="166">
                  <c:v>1.22786480392051</c:v>
                </c:pt>
                <c:pt idx="167">
                  <c:v>1.22786480392051</c:v>
                </c:pt>
                <c:pt idx="168">
                  <c:v>1.22786480392051</c:v>
                </c:pt>
                <c:pt idx="169">
                  <c:v>1.22786480392051</c:v>
                </c:pt>
                <c:pt idx="170">
                  <c:v>1.22786480392051</c:v>
                </c:pt>
                <c:pt idx="171">
                  <c:v>1.22786480392051</c:v>
                </c:pt>
                <c:pt idx="172">
                  <c:v>1.22786480392051</c:v>
                </c:pt>
                <c:pt idx="173">
                  <c:v>1.22786480392051</c:v>
                </c:pt>
                <c:pt idx="174">
                  <c:v>1.22786480392051</c:v>
                </c:pt>
                <c:pt idx="175">
                  <c:v>1.22786480392051</c:v>
                </c:pt>
                <c:pt idx="176">
                  <c:v>1.22786480392051</c:v>
                </c:pt>
                <c:pt idx="177">
                  <c:v>1.22786480392051</c:v>
                </c:pt>
                <c:pt idx="178">
                  <c:v>1.22786480392051</c:v>
                </c:pt>
                <c:pt idx="179">
                  <c:v>1.22786480392051</c:v>
                </c:pt>
                <c:pt idx="180">
                  <c:v>1.22786480392051</c:v>
                </c:pt>
                <c:pt idx="181">
                  <c:v>1.22786480392051</c:v>
                </c:pt>
                <c:pt idx="182">
                  <c:v>1.22786480392051</c:v>
                </c:pt>
                <c:pt idx="183">
                  <c:v>1.22786480392051</c:v>
                </c:pt>
                <c:pt idx="184">
                  <c:v>1.22786480392051</c:v>
                </c:pt>
                <c:pt idx="185">
                  <c:v>1.22786480392051</c:v>
                </c:pt>
                <c:pt idx="186">
                  <c:v>1.22786480392051</c:v>
                </c:pt>
                <c:pt idx="187">
                  <c:v>1.22786480392051</c:v>
                </c:pt>
                <c:pt idx="188">
                  <c:v>1.22786480392051</c:v>
                </c:pt>
                <c:pt idx="189">
                  <c:v>1.22786480392051</c:v>
                </c:pt>
                <c:pt idx="190">
                  <c:v>1.22786480392051</c:v>
                </c:pt>
                <c:pt idx="191">
                  <c:v>1.22786480392051</c:v>
                </c:pt>
                <c:pt idx="192">
                  <c:v>1.22786480392051</c:v>
                </c:pt>
                <c:pt idx="193">
                  <c:v>1.22786480392051</c:v>
                </c:pt>
                <c:pt idx="194">
                  <c:v>1.22786480392051</c:v>
                </c:pt>
                <c:pt idx="195">
                  <c:v>1.22786480392051</c:v>
                </c:pt>
                <c:pt idx="196">
                  <c:v>1.22786480392051</c:v>
                </c:pt>
                <c:pt idx="197">
                  <c:v>1.22786480392051</c:v>
                </c:pt>
                <c:pt idx="198">
                  <c:v>1.22786480392051</c:v>
                </c:pt>
                <c:pt idx="199">
                  <c:v>1.22786480392051</c:v>
                </c:pt>
                <c:pt idx="200">
                  <c:v>1.22786480392051</c:v>
                </c:pt>
              </c:numCache>
            </c:numRef>
          </c:val>
        </c:ser>
        <c:ser>
          <c:idx val="3"/>
          <c:order val="3"/>
          <c:tx>
            <c:strRef>
              <c:f>'Energy Cost'!$B$95</c:f>
              <c:strCache>
                <c:ptCount val="1"/>
                <c:pt idx="0">
                  <c:v>H2 price USD 4.00/kg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0269E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t"/>
            <c:showSerName val="1"/>
          </c:dLbls>
          <c:errBars>
            <c:errDir val="y"/>
            <c:errBarType val="minus"/>
            <c:errValType val="percentage"/>
            <c:noEndCap val="1"/>
            <c:val val="100"/>
            <c:spPr>
              <a:ln w="12700">
                <a:solidFill>
                  <a:srgbClr val="60269E"/>
                </a:solidFill>
                <a:prstDash val="sysDot"/>
              </a:ln>
            </c:spPr>
          </c:errBars>
          <c:cat>
            <c:strRef>
              <c:f>'Energy Cost'!$I$101:$I$301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'Energy Cost'!$F$101:$F$301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1.61343970927056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4"/>
          <c:order val="4"/>
          <c:tx>
            <c:strRef>
              <c:f>'Energy Cost'!$B$96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1F2933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b"/>
            <c:showSerName val="1"/>
          </c:dLbls>
          <c:cat>
            <c:strRef>
              <c:f>'Energy Cost'!$I$101:$I$301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'Energy Cost'!$G$101:$G$301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ser>
          <c:idx val="5"/>
          <c:order val="5"/>
          <c:tx>
            <c:strRef>
              <c:f>'Energy Cost'!$B$97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1F2933"/>
              </a:solidFill>
              <a:ln w="19050">
                <a:solidFill>
                  <a:srgbClr val="FFFFFF"/>
                </a:solidFill>
              </a:ln>
            </c:spPr>
          </c:marker>
          <c:dLbls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b"/>
            <c:showSerName val="1"/>
          </c:dLbls>
          <c:cat>
            <c:strRef>
              <c:f>'Energy Cost'!$I$101:$I$301</c:f>
              <c:strCache>
                <c:ptCount val="201"/>
                <c:pt idx="0">
                  <c:v>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>1</c:v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>2</c:v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>3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>4</c:v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>5</c:v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>6</c:v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>7</c:v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  <c:pt idx="153">
                  <c:v/>
                </c:pt>
                <c:pt idx="154">
                  <c:v/>
                </c:pt>
                <c:pt idx="155">
                  <c:v/>
                </c:pt>
                <c:pt idx="156">
                  <c:v/>
                </c:pt>
                <c:pt idx="157">
                  <c:v/>
                </c:pt>
                <c:pt idx="158">
                  <c:v/>
                </c:pt>
                <c:pt idx="159">
                  <c:v/>
                </c:pt>
                <c:pt idx="160">
                  <c:v>8</c:v>
                </c:pt>
                <c:pt idx="161">
                  <c:v/>
                </c:pt>
                <c:pt idx="162">
                  <c:v/>
                </c:pt>
                <c:pt idx="163">
                  <c:v/>
                </c:pt>
                <c:pt idx="164">
                  <c:v/>
                </c:pt>
                <c:pt idx="165">
                  <c:v/>
                </c:pt>
                <c:pt idx="166">
                  <c:v/>
                </c:pt>
                <c:pt idx="167">
                  <c:v/>
                </c:pt>
                <c:pt idx="168">
                  <c:v/>
                </c:pt>
                <c:pt idx="169">
                  <c:v/>
                </c:pt>
                <c:pt idx="170">
                  <c:v/>
                </c:pt>
                <c:pt idx="171">
                  <c:v/>
                </c:pt>
                <c:pt idx="172">
                  <c:v/>
                </c:pt>
                <c:pt idx="173">
                  <c:v/>
                </c:pt>
                <c:pt idx="174">
                  <c:v/>
                </c:pt>
                <c:pt idx="175">
                  <c:v/>
                </c:pt>
                <c:pt idx="176">
                  <c:v/>
                </c:pt>
                <c:pt idx="177">
                  <c:v/>
                </c:pt>
                <c:pt idx="178">
                  <c:v/>
                </c:pt>
                <c:pt idx="179">
                  <c:v/>
                </c:pt>
                <c:pt idx="180">
                  <c:v>9</c:v>
                </c:pt>
                <c:pt idx="181">
                  <c:v/>
                </c:pt>
                <c:pt idx="182">
                  <c:v/>
                </c:pt>
                <c:pt idx="183">
                  <c:v/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>10</c:v>
                </c:pt>
              </c:strCache>
            </c:strRef>
          </c:cat>
          <c:val>
            <c:numRef>
              <c:f>'Energy Cost'!$H$101:$H$301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0" baseline="0">
                    <a:solidFill>
                      <a:srgbClr val="3A3935"/>
                    </a:solidFill>
                    <a:latin typeface="Verdana"/>
                  </a:defRPr>
                </a:pPr>
                <a:r>
                  <a:rPr lang="en-US" sz="800" b="0" baseline="0">
                    <a:solidFill>
                      <a:srgbClr val="3A3935"/>
                    </a:solidFill>
                    <a:latin typeface="Verdana"/>
                  </a:rPr>
                  <a:t>H₂ price, USD/kg</a:t>
                </a:r>
              </a:p>
            </c:rich>
          </c:tx>
          <c:layout/>
        </c:title>
        <c:numFmt formatCode="0" sourceLinked="0"/>
        <c:majorTickMark val="out"/>
        <c:tickLblPos val="low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  <c:tickLblSkip val="1"/>
        <c:tickMarkSkip val="20"/>
      </c:catAx>
      <c:valAx>
        <c:axId val="50110002"/>
        <c:scaling>
          <c:orientation val="minMax"/>
        </c:scaling>
        <c:axPos val="l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'Energy Cost'!$B$90</c:f>
              <c:strCache>
                <c:ptCount val="1"/>
                <c:pt idx="0">
                  <c:v>Energy cost, USD/kg H2 produced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0.0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noFill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'Energy Cost'!$B$92</c:f>
          <c:strCache>
            <c:ptCount val="1"/>
            <c:pt idx="0">
              <c:v>Energy cost by carrier, per kg H2 produced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Upstream electricity</c:v>
          </c:tx>
          <c:spPr>
            <a:solidFill>
              <a:srgbClr val="60269E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Cost'!$K$306</c:f>
                  <c:strCache>
                    <c:ptCount val="1"/>
                    <c:pt idx="0">
                      <c:v>0.1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Cost'!$K$307</c:f>
                  <c:strCache>
                    <c:ptCount val="1"/>
                    <c:pt idx="0">
                      <c:v>0.1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Cost'!$K$308</c:f>
                  <c:strCache>
                    <c:ptCount val="1"/>
                    <c:pt idx="0">
                      <c:v>1.3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Cost'!$B$306:$B$308</c:f>
              <c:strCache>
                <c:ptCount val="3"/>
                <c:pt idx="0">
                  <c:v>NH₃ · clean-fuel cracker</c:v>
                </c:pt>
                <c:pt idx="1">
                  <c:v>NH₃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Cost'!$C$306:$C$308</c:f>
              <c:numCache>
                <c:formatCode>General</c:formatCode>
                <c:ptCount val="3"/>
                <c:pt idx="0">
                  <c:v>0.140735</c:v>
                </c:pt>
                <c:pt idx="1">
                  <c:v>0.140735</c:v>
                </c:pt>
                <c:pt idx="2">
                  <c:v>1.264137</c:v>
                </c:pt>
              </c:numCache>
            </c:numRef>
          </c:val>
        </c:ser>
        <c:ser>
          <c:idx val="1"/>
          <c:order val="1"/>
          <c:tx>
            <c:v>VLSFO</c:v>
          </c:tx>
          <c:spPr>
            <a:solidFill>
              <a:srgbClr val="00C8E8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Cost'!$L$306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Cost'!$L$307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Cost'!$L$308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Cost'!$B$306:$B$308</c:f>
              <c:strCache>
                <c:ptCount val="3"/>
                <c:pt idx="0">
                  <c:v>NH₃ · clean-fuel cracker</c:v>
                </c:pt>
                <c:pt idx="1">
                  <c:v>NH₃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Cost'!$D$306:$D$308</c:f>
              <c:numCache>
                <c:formatCode>General</c:formatCode>
                <c:ptCount val="3"/>
                <c:pt idx="0">
                  <c:v>0.00340557184750733</c:v>
                </c:pt>
                <c:pt idx="1">
                  <c:v>0.00340557184750733</c:v>
                </c:pt>
                <c:pt idx="2">
                  <c:v>0.02282639520463</c:v>
                </c:pt>
              </c:numCache>
            </c:numRef>
          </c:val>
        </c:ser>
        <c:ser>
          <c:idx val="2"/>
          <c:order val="2"/>
          <c:tx>
            <c:v>Ammonia fuel</c:v>
          </c:tx>
          <c:spPr>
            <a:solidFill>
              <a:srgbClr val="75BA75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Cost'!$M$306</c:f>
                  <c:strCache>
                    <c:ptCount val="1"/>
                    <c:pt idx="0">
                      <c:v>1.1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Cost'!$M$307</c:f>
                  <c:strCache>
                    <c:ptCount val="1"/>
                    <c:pt idx="0">
                      <c:v>0.7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Cost'!$M$308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Cost'!$B$306:$B$308</c:f>
              <c:strCache>
                <c:ptCount val="3"/>
                <c:pt idx="0">
                  <c:v>NH₃ · clean-fuel cracker</c:v>
                </c:pt>
                <c:pt idx="1">
                  <c:v>NH₃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Cost'!$E$306:$E$308</c:f>
              <c:numCache>
                <c:formatCode>General</c:formatCode>
                <c:ptCount val="3"/>
                <c:pt idx="0">
                  <c:v>1.05165694405028</c:v>
                </c:pt>
                <c:pt idx="1">
                  <c:v>0.723315063708404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v>Cargo H₂ burned</c:v>
          </c:tx>
          <c:spPr>
            <a:solidFill>
              <a:srgbClr val="F59F0A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Cost'!$N$306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Cost'!$N$307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Cost'!$N$308</c:f>
                  <c:strCache>
                    <c:ptCount val="1"/>
                    <c:pt idx="0">
                      <c:v>0.3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Cost'!$B$306:$B$308</c:f>
              <c:strCache>
                <c:ptCount val="3"/>
                <c:pt idx="0">
                  <c:v>NH₃ · clean-fuel cracker</c:v>
                </c:pt>
                <c:pt idx="1">
                  <c:v>NH₃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Cost'!$F$306:$F$308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0.32</c:v>
                </c:pt>
              </c:numCache>
            </c:numRef>
          </c:val>
        </c:ser>
        <c:ser>
          <c:idx val="4"/>
          <c:order val="4"/>
          <c:tx>
            <c:v>Natural gas</c:v>
          </c:tx>
          <c:spPr>
            <a:solidFill>
              <a:srgbClr val="2977D6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Cost'!$O$306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Cost'!$O$307</c:f>
                  <c:strCache>
                    <c:ptCount val="1"/>
                    <c:pt idx="0">
                      <c:v>0.1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Cost'!$O$308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Cost'!$B$306:$B$308</c:f>
              <c:strCache>
                <c:ptCount val="3"/>
                <c:pt idx="0">
                  <c:v>NH₃ · clean-fuel cracker</c:v>
                </c:pt>
                <c:pt idx="1">
                  <c:v>NH₃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Cost'!$G$306:$G$308</c:f>
              <c:numCache>
                <c:formatCode>General</c:formatCode>
                <c:ptCount val="3"/>
                <c:pt idx="0">
                  <c:v>0</c:v>
                </c:pt>
                <c:pt idx="1">
                  <c:v>0.138214464445489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v>Import-terminal electricity</c:v>
          </c:tx>
          <c:spPr>
            <a:solidFill>
              <a:srgbClr val="65758B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Cost'!$P$306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Cost'!$P$307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Cost'!$P$308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Cost'!$B$306:$B$308</c:f>
              <c:strCache>
                <c:ptCount val="3"/>
                <c:pt idx="0">
                  <c:v>NH₃ · clean-fuel cracker</c:v>
                </c:pt>
                <c:pt idx="1">
                  <c:v>NH₃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Cost'!$H$306:$H$308</c:f>
              <c:numCache>
                <c:formatCode>General</c:formatCode>
                <c:ptCount val="3"/>
                <c:pt idx="0">
                  <c:v>0.0320672880227165</c:v>
                </c:pt>
                <c:pt idx="1">
                  <c:v>0.0354679717834002</c:v>
                </c:pt>
                <c:pt idx="2">
                  <c:v>0.00647631406593079</c:v>
                </c:pt>
              </c:numCache>
            </c:numRef>
          </c:val>
        </c:ser>
        <c:ser>
          <c:idx val="6"/>
          <c:order val="6"/>
          <c:tx>
            <c:v> </c:v>
          </c:tx>
          <c:spPr>
            <a:noFill/>
            <a:ln>
              <a:noFill/>
            </a:ln>
          </c:spPr>
          <c:dLbls>
            <c:dLbl>
              <c:idx val="0"/>
              <c:layout/>
              <c:tx>
                <c:strRef>
                  <c:f>'Energy Cost'!$Q$306</c:f>
                  <c:strCache>
                    <c:ptCount val="1"/>
                    <c:pt idx="0">
                      <c:v>1.2 USD/kg</c:v>
                    </c:pt>
                  </c:strCache>
                </c:strRef>
              </c:tx>
              <c:dLblPos val="inBase"/>
              <c:showVal val="1"/>
            </c:dLbl>
            <c:dLbl>
              <c:idx val="1"/>
              <c:layout/>
              <c:tx>
                <c:strRef>
                  <c:f>'Energy Cost'!$Q$307</c:f>
                  <c:strCache>
                    <c:ptCount val="1"/>
                    <c:pt idx="0">
                      <c:v>1.0 USD/kg</c:v>
                    </c:pt>
                  </c:strCache>
                </c:strRef>
              </c:tx>
              <c:dLblPos val="inBase"/>
              <c:showVal val="1"/>
            </c:dLbl>
            <c:dLbl>
              <c:idx val="2"/>
              <c:layout/>
              <c:tx>
                <c:strRef>
                  <c:f>'Energy Cost'!$Q$308</c:f>
                  <c:strCache>
                    <c:ptCount val="1"/>
                    <c:pt idx="0">
                      <c:v>1.6 USD/kg</c:v>
                    </c:pt>
                  </c:strCache>
                </c:strRef>
              </c:tx>
              <c:dLblPos val="inBase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inBase"/>
            <c:showVal val="1"/>
          </c:dLbls>
          <c:cat>
            <c:strRef>
              <c:f>'Energy Cost'!$B$306:$B$308</c:f>
              <c:strCache>
                <c:ptCount val="3"/>
                <c:pt idx="0">
                  <c:v>NH₃ · clean-fuel cracker</c:v>
                </c:pt>
                <c:pt idx="1">
                  <c:v>NH₃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Cost'!$J$306:$J$308</c:f>
              <c:numCache>
                <c:formatCode>General</c:formatCode>
                <c:ptCount val="3"/>
                <c:pt idx="0">
                  <c:v>0.484031912781168</c:v>
                </c:pt>
                <c:pt idx="1">
                  <c:v>0.484031912781168</c:v>
                </c:pt>
                <c:pt idx="2">
                  <c:v>0.484031912781168</c:v>
                </c:pt>
              </c:numCache>
            </c:numRef>
          </c:val>
        </c:ser>
        <c:gapWidth val="45"/>
        <c:overlap val="100"/>
        <c:axId val="50120001"/>
        <c:axId val="50120002"/>
      </c:barChart>
      <c:catAx>
        <c:axId val="50120001"/>
        <c:scaling>
          <c:orientation val="minMax"/>
        </c:scaling>
        <c:axPos val="l"/>
        <c:majorTickMark val="none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1" baseline="0">
                <a:solidFill>
                  <a:srgbClr val="1F2933"/>
                </a:solidFill>
                <a:latin typeface="Verdana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in val="0"/>
        </c:scaling>
        <c:axPos val="b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'Energy Cost'!$B$91</c:f>
              <c:strCache>
                <c:ptCount val="1"/>
                <c:pt idx="0">
                  <c:v>Energy cost, USD per kg H2 produced</c:v>
                </c:pt>
              </c:strCache>
            </c:strRef>
          </c:tx>
          <c:layout/>
          <c:txPr>
            <a:bodyPr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noFill/>
      </c:spPr>
    </c:plotArea>
    <c:legend>
      <c:legendPos val="b"/>
      <c:legendEntry>
        <c:idx val="6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'Energy Cost'!$B$94</c:f>
          <c:strCache>
            <c:ptCount val="1"/>
            <c:pt idx="0">
              <c:v>NH3 clean fuel uses the least energy per kg H2 produced: 9.07 kWh/kg</c:v>
            </c:pt>
          </c:strCache>
        </c:strRef>
      </c:tx>
      <c:layout/>
      <c:txPr>
        <a:bodyPr/>
        <a:lstStyle/>
        <a:p>
          <a:pPr>
            <a:defRPr sz="1000" b="1" baseline="0">
              <a:solidFill>
                <a:srgbClr val="7030A0"/>
              </a:solidFill>
              <a:latin typeface="Verdana"/>
            </a:defRPr>
          </a:pPr>
          <a:endParaRPr lang="en-US"/>
        </a:p>
      </c:txPr>
    </c:title>
    <c:plotArea>
      <c:layout/>
      <c:barChart>
        <c:barDir val="bar"/>
        <c:grouping val="stacked"/>
        <c:ser>
          <c:idx val="0"/>
          <c:order val="0"/>
          <c:tx>
            <c:v>Electrolysis</c:v>
          </c:tx>
          <c:spPr>
            <a:solidFill>
              <a:srgbClr val="75BA75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Cost'!$J$313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Cost'!$J$314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Cost'!$J$315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Cost'!$B$313:$B$315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Cost'!$C$313:$C$315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Upstream (liquefaction / Haber-Bosch + tank)</c:v>
          </c:tx>
          <c:spPr>
            <a:solidFill>
              <a:srgbClr val="60269E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Cost'!$K$313</c:f>
                  <c:strCache>
                    <c:ptCount val="1"/>
                    <c:pt idx="0">
                      <c:v>1.0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Cost'!$K$314</c:f>
                  <c:strCache>
                    <c:ptCount val="1"/>
                    <c:pt idx="0">
                      <c:v>1.0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Cost'!$K$315</c:f>
                  <c:strCache>
                    <c:ptCount val="1"/>
                    <c:pt idx="0">
                      <c:v>9.0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Cost'!$B$313:$B$315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Cost'!$D$313:$D$315</c:f>
              <c:numCache>
                <c:formatCode>General</c:formatCode>
                <c:ptCount val="3"/>
                <c:pt idx="0">
                  <c:v>1.00525</c:v>
                </c:pt>
                <c:pt idx="1">
                  <c:v>1.00525</c:v>
                </c:pt>
                <c:pt idx="2">
                  <c:v>9.02955</c:v>
                </c:pt>
              </c:numCache>
            </c:numRef>
          </c:val>
        </c:ser>
        <c:ser>
          <c:idx val="2"/>
          <c:order val="2"/>
          <c:tx>
            <c:v>Shipping fuel</c:v>
          </c:tx>
          <c:spPr>
            <a:solidFill>
              <a:srgbClr val="00C8E8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Cost'!$L$313</c:f>
                  <c:strCache>
                    <c:ptCount val="1"/>
                    <c:pt idx="0">
                      <c:v>1.4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Cost'!$L$314</c:f>
                  <c:strCache>
                    <c:ptCount val="1"/>
                    <c:pt idx="0">
                      <c:v>1.4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Cost'!$L$315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Cost'!$B$313:$B$315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Cost'!$E$313:$E$315</c:f>
              <c:numCache>
                <c:formatCode>General</c:formatCode>
                <c:ptCount val="3"/>
                <c:pt idx="0">
                  <c:v>1.40273704789834</c:v>
                </c:pt>
                <c:pt idx="1">
                  <c:v>1.40273704789834</c:v>
                </c:pt>
                <c:pt idx="2">
                  <c:v>0.470103578154426</c:v>
                </c:pt>
              </c:numCache>
            </c:numRef>
          </c:val>
        </c:ser>
        <c:ser>
          <c:idx val="3"/>
          <c:order val="3"/>
          <c:tx>
            <c:v>Shipping: cargo burned as fuel</c:v>
          </c:tx>
          <c:spPr>
            <a:solidFill>
              <a:srgbClr val="F59F0A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Cost'!$M$313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Cost'!$M$314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Cost'!$M$315</c:f>
                  <c:strCache>
                    <c:ptCount val="1"/>
                    <c:pt idx="0">
                      <c:v>2.7</c:v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Cost'!$B$313:$B$315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Cost'!$F$313:$F$315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2.66666666666667</c:v>
                </c:pt>
              </c:numCache>
            </c:numRef>
          </c:val>
        </c:ser>
        <c:ser>
          <c:idx val="4"/>
          <c:order val="4"/>
          <c:tx>
            <c:v>Downstream (regas / cracking)</c:v>
          </c:tx>
          <c:spPr>
            <a:solidFill>
              <a:srgbClr val="2977D6"/>
            </a:solidFill>
            <a:ln w="9525">
              <a:solidFill>
                <a:srgbClr val="FFFFFF"/>
              </a:solidFill>
            </a:ln>
          </c:spPr>
          <c:dLbls>
            <c:dLbl>
              <c:idx val="0"/>
              <c:layout/>
              <c:tx>
                <c:strRef>
                  <c:f>'Energy Cost'!$N$313</c:f>
                  <c:strCache>
                    <c:ptCount val="1"/>
                    <c:pt idx="0">
                      <c:v>6.7</c:v>
                    </c:pt>
                  </c:strCache>
                </c:strRef>
              </c:tx>
              <c:dLblPos val="ctr"/>
              <c:showVal val="1"/>
            </c:dLbl>
            <c:dLbl>
              <c:idx val="1"/>
              <c:layout/>
              <c:tx>
                <c:strRef>
                  <c:f>'Energy Cost'!$N$314</c:f>
                  <c:strCache>
                    <c:ptCount val="1"/>
                    <c:pt idx="0">
                      <c:v>7.4</c:v>
                    </c:pt>
                  </c:strCache>
                </c:strRef>
              </c:tx>
              <c:dLblPos val="ctr"/>
              <c:showVal val="1"/>
            </c:dLbl>
            <c:dLbl>
              <c:idx val="2"/>
              <c:layout/>
              <c:tx>
                <c:strRef>
                  <c:f>'Energy Cost'!$N$315</c:f>
                  <c:strCache>
                    <c:ptCount val="1"/>
                    <c:pt idx="0">
                      <c:v/>
                    </c:pt>
                  </c:strCache>
                </c:strRef>
              </c:tx>
              <c:dLblPos val="ctr"/>
              <c:showVal val="1"/>
            </c:dLbl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'Energy Cost'!$B$313:$B$315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Cost'!$G$313:$G$315</c:f>
              <c:numCache>
                <c:formatCode>General</c:formatCode>
                <c:ptCount val="3"/>
                <c:pt idx="0">
                  <c:v>6.65868168693475</c:v>
                </c:pt>
                <c:pt idx="1">
                  <c:v>7.375393937647</c:v>
                </c:pt>
                <c:pt idx="2">
                  <c:v>0.0462593861852199</c:v>
                </c:pt>
              </c:numCache>
            </c:numRef>
          </c:val>
        </c:ser>
        <c:ser>
          <c:idx val="5"/>
          <c:order val="5"/>
          <c:tx>
            <c:v> </c:v>
          </c:tx>
          <c:spPr>
            <a:noFill/>
            <a:ln>
              <a:noFill/>
            </a:ln>
          </c:spPr>
          <c:dLbls>
            <c:dLbl>
              <c:idx val="0"/>
              <c:layout/>
              <c:tx>
                <c:strRef>
                  <c:f>'Energy Cost'!$O$313</c:f>
                  <c:strCache>
                    <c:ptCount val="1"/>
                    <c:pt idx="0">
                      <c:v>9.1 kWh/kg</c:v>
                    </c:pt>
                  </c:strCache>
                </c:strRef>
              </c:tx>
              <c:dLblPos val="inBase"/>
              <c:showVal val="1"/>
            </c:dLbl>
            <c:dLbl>
              <c:idx val="1"/>
              <c:layout/>
              <c:tx>
                <c:strRef>
                  <c:f>'Energy Cost'!$O$314</c:f>
                  <c:strCache>
                    <c:ptCount val="1"/>
                    <c:pt idx="0">
                      <c:v>9.8 kWh/kg</c:v>
                    </c:pt>
                  </c:strCache>
                </c:strRef>
              </c:tx>
              <c:dLblPos val="inBase"/>
              <c:showVal val="1"/>
            </c:dLbl>
            <c:dLbl>
              <c:idx val="2"/>
              <c:layout/>
              <c:tx>
                <c:strRef>
                  <c:f>'Energy Cost'!$O$315</c:f>
                  <c:strCache>
                    <c:ptCount val="1"/>
                    <c:pt idx="0">
                      <c:v>12.2 kWh/kg</c:v>
                    </c:pt>
                  </c:strCache>
                </c:strRef>
              </c:tx>
              <c:dLblPos val="inBase"/>
              <c:showVal val="1"/>
            </c:dLbl>
            <c:txPr>
              <a:bodyPr/>
              <a:lstStyle/>
              <a:p>
                <a:pPr>
                  <a:defRPr sz="900" b="1" baseline="0">
                    <a:solidFill>
                      <a:srgbClr val="1F2933"/>
                    </a:solidFill>
                    <a:latin typeface="Verdana"/>
                  </a:defRPr>
                </a:pPr>
                <a:endParaRPr lang="en-US"/>
              </a:p>
            </c:txPr>
            <c:dLblPos val="inBase"/>
            <c:showVal val="1"/>
          </c:dLbls>
          <c:cat>
            <c:strRef>
              <c:f>'Energy Cost'!$B$313:$B$315</c:f>
              <c:strCache>
                <c:ptCount val="3"/>
                <c:pt idx="0">
                  <c:v>NH₃ chain · clean-fuel cracker</c:v>
                </c:pt>
                <c:pt idx="1">
                  <c:v>NH₃ chain · NG-fired cracker</c:v>
                </c:pt>
                <c:pt idx="2">
                  <c:v>LH₂ chain</c:v>
                </c:pt>
              </c:strCache>
            </c:strRef>
          </c:cat>
          <c:val>
            <c:numRef>
              <c:f>'Energy Cost'!$I$313:$I$315</c:f>
              <c:numCache>
                <c:formatCode>General</c:formatCode>
                <c:ptCount val="3"/>
                <c:pt idx="0">
                  <c:v>3.66377388930189</c:v>
                </c:pt>
                <c:pt idx="1">
                  <c:v>3.66377388930189</c:v>
                </c:pt>
                <c:pt idx="2">
                  <c:v>3.66377388930189</c:v>
                </c:pt>
              </c:numCache>
            </c:numRef>
          </c:val>
        </c:ser>
        <c:gapWidth val="45"/>
        <c:overlap val="100"/>
        <c:axId val="50130001"/>
        <c:axId val="50130002"/>
      </c:barChart>
      <c:catAx>
        <c:axId val="50130001"/>
        <c:scaling>
          <c:orientation val="minMax"/>
        </c:scaling>
        <c:axPos val="l"/>
        <c:majorTickMark val="none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1" baseline="0">
                <a:solidFill>
                  <a:srgbClr val="1F2933"/>
                </a:solidFill>
                <a:latin typeface="Verdana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in val="0"/>
        </c:scaling>
        <c:axPos val="b"/>
        <c:majorGridlines>
          <c:spPr>
            <a:ln>
              <a:solidFill>
                <a:srgbClr val="E8E8E4"/>
              </a:solidFill>
            </a:ln>
          </c:spPr>
        </c:majorGridlines>
        <c:title>
          <c:tx>
            <c:strRef>
              <c:f>'Energy Cost'!$B$93</c:f>
              <c:strCache>
                <c:ptCount val="1"/>
                <c:pt idx="0">
                  <c:v>Energy, kWh per kg H2 produced</c:v>
                </c:pt>
              </c:strCache>
            </c:strRef>
          </c:tx>
          <c:layout/>
          <c:txPr>
            <a:bodyPr/>
            <a:lstStyle/>
            <a:p>
              <a:pPr>
                <a:defRPr sz="800" b="0" baseline="0">
                  <a:solidFill>
                    <a:srgbClr val="3A3935"/>
                  </a:solidFill>
                  <a:latin typeface="Verdana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>
            <a:solidFill>
              <a:srgbClr val="65758B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65758B"/>
                </a:solidFill>
                <a:latin typeface="Verdana"/>
              </a:defRPr>
            </a:pPr>
            <a:endParaRPr lang="en-US"/>
          </a:p>
        </c:txPr>
        <c:crossAx val="50130001"/>
        <c:crosses val="autoZero"/>
        <c:crossBetween val="between"/>
      </c:valAx>
      <c:spPr>
        <a:noFill/>
      </c:spPr>
    </c:plotArea>
    <c:legend>
      <c:legendPos val="b"/>
      <c:legendEntry>
        <c:idx val="5"/>
        <c:delete val="1"/>
      </c:legendEntry>
      <c:layout/>
      <c:txPr>
        <a:bodyPr/>
        <a:lstStyle/>
        <a:p>
          <a:pPr>
            <a:defRPr sz="800" b="0" baseline="0">
              <a:solidFill>
                <a:srgbClr val="3A3935"/>
              </a:solidFill>
              <a:latin typeface="Verdana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8E8E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38100</xdr:rowOff>
    </xdr:from>
    <xdr:to>
      <xdr:col>14</xdr:col>
      <xdr:colOff>209550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38100</xdr:rowOff>
    </xdr:from>
    <xdr:to>
      <xdr:col>14</xdr:col>
      <xdr:colOff>209550</xdr:colOff>
      <xdr:row>35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38100</xdr:rowOff>
    </xdr:from>
    <xdr:to>
      <xdr:col>14</xdr:col>
      <xdr:colOff>209550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323850</xdr:colOff>
      <xdr:row>7</xdr:row>
      <xdr:rowOff>38100</xdr:rowOff>
    </xdr:from>
    <xdr:to>
      <xdr:col>20</xdr:col>
      <xdr:colOff>533400</xdr:colOff>
      <xdr:row>22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22</xdr:row>
      <xdr:rowOff>38100</xdr:rowOff>
    </xdr:from>
    <xdr:to>
      <xdr:col>14</xdr:col>
      <xdr:colOff>209550</xdr:colOff>
      <xdr:row>37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323850</xdr:colOff>
      <xdr:row>22</xdr:row>
      <xdr:rowOff>38100</xdr:rowOff>
    </xdr:from>
    <xdr:to>
      <xdr:col>20</xdr:col>
      <xdr:colOff>533400</xdr:colOff>
      <xdr:row>37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38100</xdr:rowOff>
    </xdr:from>
    <xdr:to>
      <xdr:col>14</xdr:col>
      <xdr:colOff>209550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38100</xdr:rowOff>
    </xdr:from>
    <xdr:to>
      <xdr:col>14</xdr:col>
      <xdr:colOff>209550</xdr:colOff>
      <xdr:row>28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38100</xdr:rowOff>
    </xdr:from>
    <xdr:to>
      <xdr:col>14</xdr:col>
      <xdr:colOff>781050</xdr:colOff>
      <xdr:row>20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38100</xdr:rowOff>
    </xdr:from>
    <xdr:to>
      <xdr:col>14</xdr:col>
      <xdr:colOff>781050</xdr:colOff>
      <xdr:row>20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38100</xdr:rowOff>
    </xdr:from>
    <xdr:to>
      <xdr:col>14</xdr:col>
      <xdr:colOff>209550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38100</xdr:rowOff>
    </xdr:from>
    <xdr:to>
      <xdr:col>14</xdr:col>
      <xdr:colOff>209550</xdr:colOff>
      <xdr:row>34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35</xdr:row>
      <xdr:rowOff>38100</xdr:rowOff>
    </xdr:from>
    <xdr:to>
      <xdr:col>14</xdr:col>
      <xdr:colOff>209550</xdr:colOff>
      <xdr:row>47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0269E"/>
    <pageSetUpPr fitToPage="1"/>
  </sheetPr>
  <dimension ref="B1:P314"/>
  <sheetViews>
    <sheetView showGridLines="0" tabSelected="1" zoomScale="90" zoomScaleNormal="90" workbookViewId="0"/>
  </sheetViews>
  <sheetFormatPr defaultRowHeight="17" customHeight="1"/>
  <cols>
    <col min="1" max="1" width="2.7109375" customWidth="1"/>
    <col min="2" max="2" width="42.7109375" customWidth="1"/>
    <col min="3" max="31" width="14.7109375" customWidth="1"/>
  </cols>
  <sheetData>
    <row r="1" spans="2:16" ht="17" customHeight="1">
      <c r="B1" s="1" t="s">
        <v>0</v>
      </c>
    </row>
    <row r="2" spans="2:16" ht="30" customHeight="1">
      <c r="B2" s="2" t="s">
        <v>139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6" customHeight="1">
      <c r="B3" s="3" t="s">
        <v>140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34" customHeight="1">
      <c r="B4" s="4" t="s">
        <v>141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" customHeight="1">
      <c r="B5" s="5" t="s">
        <v>142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ht="17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spans="2:16" ht="17" customHeight="1">
      <c r="B8" s="7" t="s">
        <v>143</v>
      </c>
      <c r="C8" s="8"/>
      <c r="D8" s="8"/>
      <c r="E8" s="8"/>
      <c r="F8" s="8"/>
      <c r="G8" s="8"/>
    </row>
    <row r="9" spans="2:16" ht="17" customHeight="1">
      <c r="B9" s="9" t="s">
        <v>144</v>
      </c>
      <c r="C9" s="10" t="s">
        <v>145</v>
      </c>
      <c r="D9" s="11" t="s">
        <v>66</v>
      </c>
      <c r="E9" s="6" t="s">
        <v>146</v>
      </c>
    </row>
    <row r="10" spans="2:16" ht="17" customHeight="1">
      <c r="B10" s="9" t="s">
        <v>147</v>
      </c>
      <c r="C10" s="12">
        <v>60</v>
      </c>
      <c r="D10" s="11" t="s">
        <v>148</v>
      </c>
      <c r="E10" s="6" t="s">
        <v>149</v>
      </c>
    </row>
    <row r="12" spans="2:16" ht="17" customHeight="1">
      <c r="B12" s="7" t="s">
        <v>6</v>
      </c>
      <c r="C12" s="8"/>
      <c r="D12" s="8"/>
      <c r="E12" s="8"/>
      <c r="F12" s="8"/>
      <c r="G12" s="8"/>
    </row>
    <row r="13" spans="2:16" ht="17" customHeight="1">
      <c r="B13" s="9" t="s">
        <v>150</v>
      </c>
      <c r="C13" s="13">
        <f>Up_TotL</f>
        <v>25571.6856</v>
      </c>
      <c r="D13" s="11" t="str">
        <f>Up_Unit</f>
        <v>MWh</v>
      </c>
    </row>
    <row r="14" spans="2:16" ht="17" customHeight="1">
      <c r="B14" s="9" t="s">
        <v>151</v>
      </c>
      <c r="C14" s="13">
        <f>Up_TotN</f>
        <v>4897.00357142857</v>
      </c>
      <c r="D14" s="11" t="str">
        <f>Up_Unit</f>
        <v>MWh</v>
      </c>
    </row>
    <row r="15" spans="2:16" ht="17" customHeight="1">
      <c r="B15" s="9" t="s">
        <v>152</v>
      </c>
      <c r="C15" s="13">
        <f>Up_Ratio</f>
        <v>5.22190462535034</v>
      </c>
      <c r="D15" s="11" t="s">
        <v>153</v>
      </c>
    </row>
    <row r="16" spans="2:16" ht="17" customHeight="1">
      <c r="B16" s="9" t="s">
        <v>154</v>
      </c>
      <c r="C16" s="14">
        <f>Ship_CargoL/1000</f>
        <v>2832</v>
      </c>
      <c r="D16" s="11" t="s">
        <v>155</v>
      </c>
    </row>
    <row r="17" spans="2:7" ht="17" customHeight="1">
      <c r="B17" s="9" t="s">
        <v>156</v>
      </c>
      <c r="C17" s="14">
        <f>Up_H2N/1000</f>
        <v>4871.42857142857</v>
      </c>
      <c r="D17" s="11" t="s">
        <v>155</v>
      </c>
      <c r="E17" s="6" t="str">
        <f>TEXT(Up_H2N/Ship_CargoL,"0.00")&amp;"× the LH₂ route"</f>
        <v>1.72× the LH₂ route</v>
      </c>
    </row>
    <row r="18" spans="2:7" ht="17" customHeight="1">
      <c r="B18" s="9" t="s">
        <v>157</v>
      </c>
      <c r="C18" s="13">
        <f>Up_Par0</f>
        <v>1.69961792776433</v>
      </c>
      <c r="D18" s="11" t="s">
        <v>148</v>
      </c>
      <c r="E18" s="6" t="s">
        <v>158</v>
      </c>
    </row>
    <row r="19" spans="2:7" ht="17" customHeight="1">
      <c r="B19" s="9" t="s">
        <v>159</v>
      </c>
      <c r="C19" s="13">
        <f>Up_MinPara</f>
        <v>3.9</v>
      </c>
      <c r="D19" s="11" t="s">
        <v>160</v>
      </c>
    </row>
    <row r="20" spans="2:7" ht="17" customHeight="1">
      <c r="B20" s="9" t="s">
        <v>161</v>
      </c>
      <c r="C20" s="13">
        <f>Up_MinPara-Up_Par</f>
        <v>2.20038207223567</v>
      </c>
      <c r="D20" s="11" t="s">
        <v>160</v>
      </c>
    </row>
    <row r="21" spans="2:7" ht="17" customHeight="1">
      <c r="B21" s="9" t="s">
        <v>162</v>
      </c>
      <c r="C21" s="15">
        <f>Up_MinPara/Up_SecL</f>
        <v>0.433333333333333</v>
      </c>
      <c r="D21" s="11" t="s">
        <v>13</v>
      </c>
    </row>
    <row r="23" spans="2:7" ht="17" customHeight="1">
      <c r="B23" s="7" t="s">
        <v>163</v>
      </c>
      <c r="C23" s="8"/>
      <c r="D23" s="8"/>
      <c r="E23" s="8"/>
      <c r="F23" s="8"/>
      <c r="G23" s="8"/>
    </row>
    <row r="24" spans="2:7" ht="17" customHeight="1">
      <c r="B24" s="9" t="s">
        <v>26</v>
      </c>
      <c r="C24" s="16">
        <f>Ship_Vol</f>
        <v>40000</v>
      </c>
      <c r="D24" s="11" t="s">
        <v>27</v>
      </c>
      <c r="E24" s="6" t="s">
        <v>164</v>
      </c>
    </row>
    <row r="25" spans="2:7" ht="17" customHeight="1">
      <c r="B25" s="9" t="s">
        <v>40</v>
      </c>
      <c r="C25" s="17">
        <f>Ship_Rho_L</f>
        <v>70.8</v>
      </c>
      <c r="D25" s="11" t="s">
        <v>41</v>
      </c>
      <c r="E25" s="6" t="s">
        <v>164</v>
      </c>
    </row>
    <row r="26" spans="2:7" ht="17" customHeight="1">
      <c r="B26" s="9" t="s">
        <v>165</v>
      </c>
      <c r="C26" s="16">
        <f>Ship_Fill_L</f>
        <v>100</v>
      </c>
      <c r="D26" s="11" t="s">
        <v>13</v>
      </c>
      <c r="E26" s="6" t="s">
        <v>164</v>
      </c>
    </row>
    <row r="27" spans="2:7" ht="17" customHeight="1">
      <c r="B27" s="9" t="s">
        <v>56</v>
      </c>
      <c r="C27" s="16">
        <f>Ship_Rho_N</f>
        <v>682</v>
      </c>
      <c r="D27" s="11" t="s">
        <v>41</v>
      </c>
      <c r="E27" s="6" t="s">
        <v>164</v>
      </c>
    </row>
    <row r="28" spans="2:7" ht="17" customHeight="1">
      <c r="B28" s="7" t="s">
        <v>166</v>
      </c>
      <c r="C28" s="8"/>
      <c r="D28" s="8"/>
      <c r="E28" s="8"/>
      <c r="F28" s="8"/>
      <c r="G28" s="8"/>
    </row>
    <row r="29" spans="2:7" ht="17" customHeight="1">
      <c r="B29" s="9" t="s">
        <v>167</v>
      </c>
      <c r="C29" s="18">
        <v>9</v>
      </c>
      <c r="D29" s="11" t="s">
        <v>148</v>
      </c>
      <c r="E29" s="6" t="s">
        <v>168</v>
      </c>
    </row>
    <row r="30" spans="2:7" ht="17" customHeight="1">
      <c r="B30" s="9" t="s">
        <v>169</v>
      </c>
      <c r="C30" s="19">
        <v>0.1</v>
      </c>
      <c r="D30" s="11" t="s">
        <v>8</v>
      </c>
      <c r="E30" s="6" t="s">
        <v>170</v>
      </c>
    </row>
    <row r="31" spans="2:7" ht="17" customHeight="1">
      <c r="B31" s="9" t="s">
        <v>171</v>
      </c>
      <c r="C31" s="19">
        <v>3.94</v>
      </c>
      <c r="D31" s="11" t="s">
        <v>172</v>
      </c>
      <c r="E31" s="6" t="s">
        <v>173</v>
      </c>
    </row>
    <row r="32" spans="2:7" ht="17" customHeight="1">
      <c r="B32" s="7" t="s">
        <v>174</v>
      </c>
      <c r="C32" s="8"/>
      <c r="D32" s="8"/>
      <c r="E32" s="8"/>
      <c r="F32" s="8"/>
      <c r="G32" s="8"/>
    </row>
    <row r="33" spans="2:13" ht="17" customHeight="1">
      <c r="B33" s="9" t="s">
        <v>175</v>
      </c>
      <c r="C33" s="18">
        <v>1</v>
      </c>
      <c r="D33" s="11" t="s">
        <v>148</v>
      </c>
      <c r="E33" s="6" t="s">
        <v>176</v>
      </c>
    </row>
    <row r="34" spans="2:13" ht="17" customHeight="1">
      <c r="B34" s="9" t="s">
        <v>177</v>
      </c>
      <c r="C34" s="19">
        <v>5.6</v>
      </c>
      <c r="D34" s="11" t="s">
        <v>178</v>
      </c>
      <c r="E34" s="6" t="s">
        <v>179</v>
      </c>
    </row>
    <row r="35" spans="2:13" ht="17" customHeight="1">
      <c r="B35" s="9" t="s">
        <v>180</v>
      </c>
      <c r="C35" s="18">
        <v>0</v>
      </c>
      <c r="D35" s="11" t="s">
        <v>13</v>
      </c>
      <c r="E35" s="6" t="s">
        <v>181</v>
      </c>
    </row>
    <row r="36" spans="2:13" ht="17" customHeight="1">
      <c r="B36" s="9" t="s">
        <v>169</v>
      </c>
      <c r="C36" s="19">
        <v>0.05</v>
      </c>
      <c r="D36" s="11" t="s">
        <v>8</v>
      </c>
      <c r="E36" s="6" t="s">
        <v>37</v>
      </c>
    </row>
    <row r="37" spans="2:13" ht="17" customHeight="1">
      <c r="B37" s="9" t="s">
        <v>171</v>
      </c>
      <c r="C37" s="19">
        <v>0.25</v>
      </c>
      <c r="D37" s="11" t="s">
        <v>172</v>
      </c>
      <c r="E37" s="6" t="s">
        <v>182</v>
      </c>
    </row>
    <row r="38" spans="2:13" ht="17" customHeight="1">
      <c r="B38" s="7" t="s">
        <v>183</v>
      </c>
      <c r="C38" s="8"/>
      <c r="D38" s="8"/>
      <c r="E38" s="8"/>
      <c r="F38" s="8"/>
      <c r="G38" s="8"/>
    </row>
    <row r="39" spans="2:13" ht="17" customHeight="1">
      <c r="B39" s="9" t="s">
        <v>184</v>
      </c>
      <c r="C39" s="12">
        <v>60000</v>
      </c>
      <c r="D39" s="11" t="s">
        <v>27</v>
      </c>
      <c r="E39" s="6" t="s">
        <v>37</v>
      </c>
    </row>
    <row r="40" spans="2:13" ht="17" customHeight="1">
      <c r="B40" s="9" t="s">
        <v>185</v>
      </c>
      <c r="C40" s="12">
        <v>100</v>
      </c>
      <c r="D40" s="11" t="s">
        <v>186</v>
      </c>
      <c r="E40" s="6" t="s">
        <v>187</v>
      </c>
    </row>
    <row r="41" spans="2:13" ht="17" customHeight="1">
      <c r="B41" s="9" t="s">
        <v>188</v>
      </c>
      <c r="C41" s="12">
        <v>5</v>
      </c>
      <c r="D41" s="11" t="s">
        <v>189</v>
      </c>
      <c r="E41" s="6" t="s">
        <v>190</v>
      </c>
    </row>
    <row r="42" spans="2:13" ht="17" customHeight="1">
      <c r="B42" s="7" t="s">
        <v>191</v>
      </c>
      <c r="C42" s="8"/>
      <c r="D42" s="8"/>
      <c r="E42" s="8"/>
      <c r="F42" s="8"/>
      <c r="G42" s="8"/>
    </row>
    <row r="43" spans="2:13" ht="17" customHeight="1">
      <c r="B43" s="9" t="s">
        <v>192</v>
      </c>
      <c r="C43" s="18">
        <v>3.3</v>
      </c>
      <c r="D43" s="11" t="s">
        <v>160</v>
      </c>
      <c r="E43" s="6" t="s">
        <v>193</v>
      </c>
    </row>
    <row r="44" spans="2:13" ht="17" customHeight="1">
      <c r="B44" s="9" t="s">
        <v>194</v>
      </c>
      <c r="C44" s="18">
        <v>3.9</v>
      </c>
      <c r="D44" s="11" t="s">
        <v>160</v>
      </c>
      <c r="E44" s="6" t="s">
        <v>193</v>
      </c>
    </row>
    <row r="45" spans="2:13" ht="17" customHeight="1">
      <c r="B45" s="7" t="s">
        <v>195</v>
      </c>
      <c r="C45" s="8"/>
      <c r="D45" s="8"/>
      <c r="E45" s="8"/>
      <c r="F45" s="8"/>
      <c r="G45" s="8"/>
    </row>
    <row r="46" spans="2:13" ht="17" customHeight="1">
      <c r="B46" s="9" t="s">
        <v>196</v>
      </c>
      <c r="C46" s="10" t="s">
        <v>197</v>
      </c>
      <c r="D46" s="11" t="s">
        <v>66</v>
      </c>
      <c r="E46" s="6" t="s">
        <v>67</v>
      </c>
    </row>
    <row r="48" spans="2:13" ht="17" customHeight="1">
      <c r="B48" s="7" t="s">
        <v>198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2:5" ht="17" customHeight="1">
      <c r="B49" s="9" t="s">
        <v>199</v>
      </c>
      <c r="C49" s="20">
        <f>Ship_CargoN/Up_Stoich/(1-Up_Loss/100)</f>
        <v>4871428.57142857</v>
      </c>
      <c r="D49" s="11" t="s">
        <v>70</v>
      </c>
      <c r="E49" s="6" t="s">
        <v>200</v>
      </c>
    </row>
    <row r="50" spans="2:5" ht="17" customHeight="1">
      <c r="B50" s="9" t="s">
        <v>201</v>
      </c>
      <c r="C50" s="20">
        <f>Up_Tank*Up_Fill/100*Ship_Rho_L</f>
        <v>4248000</v>
      </c>
      <c r="D50" s="11" t="s">
        <v>70</v>
      </c>
    </row>
    <row r="51" spans="2:5" ht="17" customHeight="1">
      <c r="B51" s="9" t="s">
        <v>202</v>
      </c>
      <c r="C51" s="20">
        <f>Up_Tank*Up_Fill/100*Ship_Rho_N</f>
        <v>40920000</v>
      </c>
      <c r="D51" s="11" t="s">
        <v>70</v>
      </c>
    </row>
    <row r="52" spans="2:5" ht="17" customHeight="1">
      <c r="B52" s="9" t="s">
        <v>203</v>
      </c>
      <c r="C52" s="20">
        <f>Up_InvL*Up_BorL/100</f>
        <v>4248</v>
      </c>
      <c r="D52" s="11" t="s">
        <v>11</v>
      </c>
    </row>
    <row r="53" spans="2:5" ht="17" customHeight="1">
      <c r="B53" s="9" t="s">
        <v>204</v>
      </c>
      <c r="C53" s="20">
        <f>Up_InvN*Up_BorN/100</f>
        <v>20460</v>
      </c>
      <c r="D53" s="11" t="s">
        <v>11</v>
      </c>
    </row>
    <row r="54" spans="2:5" ht="17" customHeight="1">
      <c r="B54" s="9" t="s">
        <v>205</v>
      </c>
      <c r="C54" s="20">
        <f>Ship_CargoL*Up_SecL</f>
        <v>25488000</v>
      </c>
      <c r="D54" s="11" t="s">
        <v>206</v>
      </c>
      <c r="E54" s="6" t="s">
        <v>207</v>
      </c>
    </row>
    <row r="55" spans="2:5" ht="17" customHeight="1">
      <c r="B55" s="9" t="s">
        <v>208</v>
      </c>
      <c r="C55" s="20">
        <f>Up_BogL*Up_Days*Up_RlqL</f>
        <v>83685.6</v>
      </c>
      <c r="D55" s="11" t="s">
        <v>206</v>
      </c>
    </row>
    <row r="56" spans="2:5" ht="17" customHeight="1">
      <c r="B56" s="9" t="s">
        <v>209</v>
      </c>
      <c r="C56" s="20">
        <f>Up_H2N*Up_SecN</f>
        <v>4871428.57142857</v>
      </c>
      <c r="D56" s="11" t="s">
        <v>206</v>
      </c>
      <c r="E56" s="6" t="s">
        <v>210</v>
      </c>
    </row>
    <row r="57" spans="2:5" ht="17" customHeight="1">
      <c r="B57" s="9" t="s">
        <v>211</v>
      </c>
      <c r="C57" s="20">
        <f>Up_BogN*Up_Days*Up_RlqN</f>
        <v>25575</v>
      </c>
      <c r="D57" s="11" t="s">
        <v>206</v>
      </c>
    </row>
    <row r="58" spans="2:5" ht="17" customHeight="1">
      <c r="B58" s="9" t="s">
        <v>212</v>
      </c>
      <c r="C58" s="20">
        <f>IF(Up_ElzOn="Yes",Ship_CargoL*Up_ElzSec,0)</f>
        <v>0</v>
      </c>
      <c r="D58" s="11" t="s">
        <v>206</v>
      </c>
      <c r="E58" s="6" t="s">
        <v>213</v>
      </c>
    </row>
    <row r="59" spans="2:5" ht="17" customHeight="1">
      <c r="B59" s="9" t="s">
        <v>214</v>
      </c>
      <c r="C59" s="20">
        <f>IF(Up_ElzOn="Yes",Up_H2N*Up_ElzSec,0)</f>
        <v>0</v>
      </c>
      <c r="D59" s="11" t="s">
        <v>206</v>
      </c>
      <c r="E59" s="6" t="s">
        <v>213</v>
      </c>
    </row>
    <row r="60" spans="2:5" ht="17" customHeight="1">
      <c r="B60" s="9" t="s">
        <v>215</v>
      </c>
      <c r="C60" s="21" t="str">
        <f>IF(Up_Basis="Per kg H2 (kWh)","kWh/kg H2","MWh")</f>
        <v>MWh</v>
      </c>
      <c r="D60" s="11" t="s">
        <v>66</v>
      </c>
    </row>
    <row r="61" spans="2:5" ht="17" customHeight="1">
      <c r="B61" s="9" t="s">
        <v>216</v>
      </c>
      <c r="C61" s="20">
        <f>IF(Up_Basis="Per kg H2 (kWh)",Ship_CargoL,1000)</f>
        <v>1000</v>
      </c>
      <c r="D61" s="11" t="s">
        <v>66</v>
      </c>
    </row>
    <row r="62" spans="2:5" ht="17" customHeight="1">
      <c r="B62" s="9" t="s">
        <v>217</v>
      </c>
      <c r="C62" s="20">
        <f>IF(Up_Basis="Per kg H2 (kWh)",Up_H2N,1000)</f>
        <v>1000</v>
      </c>
      <c r="D62" s="11" t="s">
        <v>66</v>
      </c>
    </row>
    <row r="63" spans="2:5" ht="17" customHeight="1">
      <c r="B63" s="9" t="s">
        <v>218</v>
      </c>
      <c r="C63" s="22">
        <f>(Up_ElzL+Up_Liq+Up_RlL)/Up_DivL</f>
        <v>25571.6856</v>
      </c>
      <c r="D63" s="11" t="str">
        <f>Up_Unit</f>
        <v>MWh</v>
      </c>
    </row>
    <row r="64" spans="2:5" ht="17" customHeight="1">
      <c r="B64" s="9" t="s">
        <v>219</v>
      </c>
      <c r="C64" s="22">
        <f>(Up_ElzN+Up_HB+Up_RlN)/Up_DivN</f>
        <v>4897.00357142857</v>
      </c>
      <c r="D64" s="11" t="str">
        <f>Up_Unit</f>
        <v>MWh</v>
      </c>
    </row>
    <row r="65" spans="2:13" ht="17" customHeight="1">
      <c r="B65" s="9" t="s">
        <v>152</v>
      </c>
      <c r="C65" s="22">
        <f>Up_TotL/Up_TotN</f>
        <v>5.22190462535034</v>
      </c>
      <c r="D65" s="11" t="s">
        <v>153</v>
      </c>
    </row>
    <row r="66" spans="2:13" ht="17" customHeight="1">
      <c r="B66" s="9" t="s">
        <v>220</v>
      </c>
      <c r="C66" s="22">
        <f>IF(Up_Basis="Per kg H2 (kWh)",(Up_HB+Up_RlN+Up_ElzN)/Up_H2N-(Up_RlL+Up_ElzL)/Ship_CargoL,((Up_HB+Up_RlN+Up_ElzN)-Up_RlL-Up_ElzL)/Ship_CargoL)</f>
        <v>1.69961792776433</v>
      </c>
      <c r="D66" s="11" t="s">
        <v>160</v>
      </c>
      <c r="E66" s="6" t="s">
        <v>221</v>
      </c>
    </row>
    <row r="68" spans="2:13" ht="17" customHeight="1">
      <c r="B68" s="23" t="str">
        <f>IF(Up_ElzOn="No","Liquefaction takes about "&amp;TEXT(Up_Ratio,"0.0")&amp;"× the energy of Haber-Bosch",IF(Up_Ratio&gt;=1,"With electrolysis, the LH2 route takes about "&amp;TEXT(Up_Ratio,"0.0")&amp;"× the energy of the NH3 route","With electrolysis, the NH3 route takes about "&amp;TEXT(1/Up_Ratio,"0.0")&amp;"× the energy of the LH2 route"))&amp;IF(Up_Basis="Per kg H2 (kWh)"," per kg H2"," per cargo")</f>
        <v>Liquefaction takes about 5.2× the energy of Haber-Bosch per cargo</v>
      </c>
    </row>
    <row r="69" spans="2:13" ht="17" customHeight="1">
      <c r="B69" s="23" t="str">
        <f>IF(Up_Par0&lt;0,"Even a liquefier using no energy would not match the NH3 route ("&amp;TEXT(Up_Par0,"0.00")&amp;" kWh/kg needed)",IF(Up_Par0&lt;Up_MinPara,"A liquefier would need "&amp;TEXT(Up_Par0,"0.00")&amp;" kWh/kg to match Haber-Bosch — below the "&amp;TEXT(Up_MinPara,"0.0")&amp;" kWh/kg thermodynamic minimum, so it is unreachable","A liquefier at "&amp;TEXT(Up_Par0,"0.00")&amp;" kWh/kg would match Haber-Bosch — above the "&amp;TEXT(Up_MinPara,"0.0")&amp;" kWh/kg minimum, so it is physically possible"))</f>
        <v>A liquefier would need 1.70 kWh/kg to match Haber-Bosch — below the 3.9 kWh/kg thermodynamic minimum, so it is unreachable</v>
      </c>
    </row>
    <row r="70" spans="2:13" ht="17" customHeight="1">
      <c r="B70" s="23" t="str">
        <f>IF(Up_Basis="Per kg H2 (kWh)","Energy, kWh per kg H2","Energy per 40,000 m3 cargo, MWh")</f>
        <v>Energy per 40,000 m3 cargo, MWh</v>
      </c>
    </row>
    <row r="71" spans="2:13" ht="17" customHeight="1">
      <c r="B71" s="23" t="str">
        <f>IF(Up_Basis="Per kg H2 (kWh)","Upstream energy, kWh/kg H2","Upstream energy, MWh per cargo")</f>
        <v>Upstream energy, MWh per cargo</v>
      </c>
    </row>
    <row r="72" spans="2:13" ht="17" customHeight="1">
      <c r="B72" s="23" t="str">
        <f>"Your input "&amp;TEXT(Up_SecL,"0.0")&amp;" kWh/kg"</f>
        <v>Your input 9.0 kWh/kg</v>
      </c>
    </row>
    <row r="73" spans="2:13" ht="17" customHeight="1">
      <c r="B73" s="23" t="str">
        <f>"Parity at "&amp;TEXT(Up_Par0,"0.00")&amp;" kWh/kg"</f>
        <v>Parity at 1.70 kWh/kg</v>
      </c>
    </row>
    <row r="74" spans="2:13" ht="17" customHeight="1">
      <c r="B74" s="23" t="str">
        <f>"3.3 normal-H2"</f>
        <v>3.3 normal-H2</v>
      </c>
    </row>
    <row r="75" spans="2:13" ht="17" customHeight="1">
      <c r="B75" s="23" t="str">
        <f>"3.9 para-H2 minimum"</f>
        <v>3.9 para-H2 minimum</v>
      </c>
    </row>
    <row r="77" spans="2:13" ht="17" customHeight="1">
      <c r="B77" s="7" t="s">
        <v>222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2:13" ht="30" customHeight="1">
      <c r="B78" s="24" t="s">
        <v>223</v>
      </c>
      <c r="C78" s="25" t="s">
        <v>224</v>
      </c>
      <c r="D78" s="25" t="s">
        <v>225</v>
      </c>
      <c r="E78" s="25" t="s">
        <v>226</v>
      </c>
      <c r="F78" s="25" t="s">
        <v>227</v>
      </c>
    </row>
    <row r="79" spans="2:13" ht="17" customHeight="1">
      <c r="B79" s="26" t="s">
        <v>228</v>
      </c>
      <c r="C79" s="27">
        <f>Ship_CargoL</f>
        <v>2832000</v>
      </c>
      <c r="D79" s="27">
        <f>Ship_CargoL</f>
        <v>2832000</v>
      </c>
      <c r="E79" s="27">
        <f>Ship_CargoL</f>
        <v>2832000</v>
      </c>
      <c r="F79" s="27">
        <f>Up_InvL</f>
        <v>4248000</v>
      </c>
    </row>
    <row r="80" spans="2:13" ht="17" customHeight="1">
      <c r="B80" s="26" t="s">
        <v>229</v>
      </c>
      <c r="C80" s="27">
        <f>Ship_CargoN</f>
        <v>27280000</v>
      </c>
      <c r="D80" s="27">
        <f>Up_H2N</f>
        <v>4871428.57142857</v>
      </c>
      <c r="E80" s="27">
        <f>Ship_CargoN/Up_Stoich</f>
        <v>4871428.57142857</v>
      </c>
      <c r="F80" s="27">
        <f>Up_InvN</f>
        <v>40920000</v>
      </c>
    </row>
    <row r="82" spans="2:15" ht="17" customHeight="1">
      <c r="B82" s="7" t="s">
        <v>230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2:15" ht="30" customHeight="1">
      <c r="B83" s="24" t="s">
        <v>231</v>
      </c>
      <c r="C83" s="25" t="s">
        <v>232</v>
      </c>
      <c r="D83" s="25" t="s">
        <v>233</v>
      </c>
      <c r="E83" s="25" t="s">
        <v>234</v>
      </c>
      <c r="F83" s="25" t="s">
        <v>235</v>
      </c>
    </row>
    <row r="84" spans="2:15" ht="17" customHeight="1">
      <c r="B84" s="26" t="s">
        <v>236</v>
      </c>
      <c r="C84" s="28">
        <f>Up_ElzL/1000</f>
        <v>0</v>
      </c>
      <c r="D84" s="28">
        <f>Up_ElzN/1000</f>
        <v>0</v>
      </c>
      <c r="E84" s="29">
        <f>Up_ElzL/Ship_CargoL</f>
        <v>0</v>
      </c>
      <c r="F84" s="29">
        <f>Up_ElzN/Up_H2N</f>
        <v>0</v>
      </c>
    </row>
    <row r="85" spans="2:15" ht="17" customHeight="1">
      <c r="B85" s="26" t="s">
        <v>237</v>
      </c>
      <c r="C85" s="28">
        <f>Up_Liq/1000</f>
        <v>25488</v>
      </c>
      <c r="D85" s="28">
        <f>Up_HB/1000</f>
        <v>4871.42857142857</v>
      </c>
      <c r="E85" s="29">
        <f>Up_Liq/Ship_CargoL</f>
        <v>9</v>
      </c>
      <c r="F85" s="29">
        <f>Up_HB/Up_H2N</f>
        <v>1</v>
      </c>
    </row>
    <row r="86" spans="2:15" ht="17" customHeight="1">
      <c r="B86" s="26" t="s">
        <v>238</v>
      </c>
      <c r="C86" s="28">
        <f>Up_RlL/1000</f>
        <v>83.6856</v>
      </c>
      <c r="D86" s="28">
        <f>Up_RlN/1000</f>
        <v>25.575</v>
      </c>
      <c r="E86" s="29">
        <f>Up_RlL/Ship_CargoL</f>
        <v>0.02955</v>
      </c>
      <c r="F86" s="29">
        <f>Up_RlN/Up_H2N</f>
        <v>0.00525</v>
      </c>
    </row>
    <row r="87" spans="2:15" ht="17" customHeight="1">
      <c r="B87" s="30" t="s">
        <v>239</v>
      </c>
      <c r="C87" s="31">
        <f>SUM(C84:C86)</f>
        <v>25571.6856</v>
      </c>
      <c r="D87" s="31">
        <f>SUM(D84:D86)</f>
        <v>4897.00357142857</v>
      </c>
      <c r="E87" s="32">
        <f>SUM(E84:E86)</f>
        <v>9.02955</v>
      </c>
      <c r="F87" s="32">
        <f>SUM(F84:F86)</f>
        <v>1.00525</v>
      </c>
    </row>
    <row r="89" spans="2:15" ht="17" customHeight="1">
      <c r="B89" s="7" t="s">
        <v>240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2:15" ht="30" customHeight="1">
      <c r="B90" s="24" t="s">
        <v>241</v>
      </c>
      <c r="C90" s="25" t="s">
        <v>242</v>
      </c>
      <c r="D90" s="25" t="s">
        <v>243</v>
      </c>
      <c r="E90" s="25" t="s">
        <v>244</v>
      </c>
      <c r="F90" s="25" t="s">
        <v>245</v>
      </c>
      <c r="G90" s="25" t="s">
        <v>246</v>
      </c>
      <c r="H90" s="25" t="s">
        <v>247</v>
      </c>
    </row>
    <row r="91" spans="2:15" ht="17" customHeight="1">
      <c r="B91" s="26" t="s">
        <v>248</v>
      </c>
      <c r="C91" s="27">
        <f>Up_InvL</f>
        <v>4248000</v>
      </c>
      <c r="D91" s="33">
        <f>Up_BorL</f>
        <v>0.1</v>
      </c>
      <c r="E91" s="27">
        <f>Up_BogL</f>
        <v>4248</v>
      </c>
      <c r="F91" s="33">
        <f>Up_RlqL</f>
        <v>3.94</v>
      </c>
      <c r="G91" s="33">
        <f>Up_BogL*Up_RlqL/1000</f>
        <v>16.73712</v>
      </c>
      <c r="H91" s="28">
        <f>Up_RlL/1000</f>
        <v>83.6856</v>
      </c>
    </row>
    <row r="92" spans="2:15" ht="17" customHeight="1">
      <c r="B92" s="26" t="s">
        <v>249</v>
      </c>
      <c r="C92" s="27">
        <f>Up_InvN</f>
        <v>40920000</v>
      </c>
      <c r="D92" s="33">
        <f>Up_BorN</f>
        <v>0.05</v>
      </c>
      <c r="E92" s="27">
        <f>Up_BogN</f>
        <v>20460</v>
      </c>
      <c r="F92" s="33">
        <f>Up_RlqN</f>
        <v>0.25</v>
      </c>
      <c r="G92" s="33">
        <f>Up_BogN*Up_RlqN/1000</f>
        <v>5.115</v>
      </c>
      <c r="H92" s="28">
        <f>Up_RlN/1000</f>
        <v>25.575</v>
      </c>
    </row>
    <row r="95" spans="2:15" ht="17" customHeight="1">
      <c r="B95" s="7" t="s">
        <v>250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2:15" ht="42" customHeight="1">
      <c r="B96" s="24" t="s">
        <v>251</v>
      </c>
      <c r="C96" s="25" t="s">
        <v>236</v>
      </c>
      <c r="D96" s="25" t="s">
        <v>167</v>
      </c>
      <c r="E96" s="25" t="s">
        <v>175</v>
      </c>
      <c r="F96" s="25" t="s">
        <v>238</v>
      </c>
      <c r="G96" s="25" t="s">
        <v>239</v>
      </c>
      <c r="H96" s="25" t="s">
        <v>252</v>
      </c>
      <c r="I96" s="25" t="s">
        <v>253</v>
      </c>
      <c r="J96" s="25" t="s">
        <v>254</v>
      </c>
      <c r="K96" s="25" t="s">
        <v>255</v>
      </c>
      <c r="L96" s="25" t="s">
        <v>256</v>
      </c>
      <c r="M96" s="25" t="s">
        <v>257</v>
      </c>
    </row>
    <row r="97" spans="2:15" ht="17" customHeight="1">
      <c r="B97" s="34" t="s">
        <v>229</v>
      </c>
      <c r="C97" s="35">
        <f>Up_ElzN/Up_DivN</f>
        <v>0</v>
      </c>
      <c r="D97" s="35">
        <f>0</f>
        <v>0</v>
      </c>
      <c r="E97" s="35">
        <f>Up_HB/Up_DivN</f>
        <v>4871.42857142857</v>
      </c>
      <c r="F97" s="35">
        <f>Up_RlN/Up_DivN</f>
        <v>25.575</v>
      </c>
      <c r="G97" s="35">
        <f>SUM(C97:F97)</f>
        <v>4897.00357142857</v>
      </c>
      <c r="H97" s="35">
        <f>0.3*MAX($G$97:$G$98)</f>
        <v>7671.50568</v>
      </c>
      <c r="I97" s="35">
        <f>IF(C97&lt;0.04*MAX($G$97:$G$98),"",TEXT(C97,IF(C97&lt;0.1,"0.000",IF(C97&lt;100,"0.0","#,##0"))))</f>
        <v/>
      </c>
      <c r="J97" s="35">
        <f>IF(D97&lt;0.04*MAX($G$97:$G$98),"",TEXT(D97,IF(D97&lt;0.1,"0.000",IF(D97&lt;100,"0.0","#,##0"))))</f>
        <v/>
      </c>
      <c r="K97" s="35" t="str">
        <f>IF(E97&lt;0.04*MAX($G$97:$G$98),"",TEXT(E97,IF(E97&lt;0.1,"0.000",IF(E97&lt;100,"0.0","#,##0"))))</f>
        <v>4,871</v>
      </c>
      <c r="L97" s="35">
        <f>IF(F97&lt;0.04*MAX($G$97:$G$98),"",TEXT(F97,IF(F97&lt;0.1,"0.000",IF(F97&lt;100,"0.0","#,##0"))))</f>
        <v/>
      </c>
      <c r="M97" s="35" t="str">
        <f>TEXT(G97,IF(G97&lt;0.1,"0.000",IF(G97&lt;100,"0.0","#,##0")))&amp;" "&amp;Up_Unit</f>
        <v>4,897 MWh</v>
      </c>
    </row>
    <row r="98" spans="2:15" ht="17" customHeight="1">
      <c r="B98" s="34" t="s">
        <v>228</v>
      </c>
      <c r="C98" s="35">
        <f>Up_ElzL/Up_DivL</f>
        <v>0</v>
      </c>
      <c r="D98" s="35">
        <f>Up_Liq/Up_DivL</f>
        <v>25488</v>
      </c>
      <c r="E98" s="35">
        <f>0</f>
        <v>0</v>
      </c>
      <c r="F98" s="35">
        <f>Up_RlL/Up_DivL</f>
        <v>83.6856</v>
      </c>
      <c r="G98" s="35">
        <f>SUM(C98:F98)</f>
        <v>25571.6856</v>
      </c>
      <c r="H98" s="35">
        <f>0.3*MAX($G$97:$G$98)</f>
        <v>7671.50568</v>
      </c>
      <c r="I98" s="35">
        <f>IF(C98&lt;0.04*MAX($G$97:$G$98),"",TEXT(C98,IF(C98&lt;0.1,"0.000",IF(C98&lt;100,"0.0","#,##0"))))</f>
        <v/>
      </c>
      <c r="J98" s="35" t="str">
        <f>IF(D98&lt;0.04*MAX($G$97:$G$98),"",TEXT(D98,IF(D98&lt;0.1,"0.000",IF(D98&lt;100,"0.0","#,##0"))))</f>
        <v>25,488</v>
      </c>
      <c r="K98" s="35">
        <f>IF(E98&lt;0.04*MAX($G$97:$G$98),"",TEXT(E98,IF(E98&lt;0.1,"0.000",IF(E98&lt;100,"0.0","#,##0"))))</f>
        <v/>
      </c>
      <c r="L98" s="35">
        <f>IF(F98&lt;0.04*MAX($G$97:$G$98),"",TEXT(F98,IF(F98&lt;0.1,"0.000",IF(F98&lt;100,"0.0","#,##0"))))</f>
        <v/>
      </c>
      <c r="M98" s="35" t="str">
        <f>TEXT(G98,IF(G98&lt;0.1,"0.000",IF(G98&lt;100,"0.0","#,##0")))&amp;" "&amp;Up_Unit</f>
        <v>25,572 MWh</v>
      </c>
    </row>
    <row r="101" spans="2:15" ht="17" customHeight="1">
      <c r="B101" s="7" t="s">
        <v>258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2:15" ht="42" customHeight="1">
      <c r="B102" s="24" t="s">
        <v>259</v>
      </c>
      <c r="C102" s="25" t="s">
        <v>260</v>
      </c>
      <c r="D102" s="25" t="s">
        <v>261</v>
      </c>
      <c r="E102" s="25" t="s">
        <v>262</v>
      </c>
      <c r="F102" s="25" t="s">
        <v>263</v>
      </c>
      <c r="G102" s="25" t="s">
        <v>264</v>
      </c>
      <c r="H102" s="25" t="s">
        <v>265</v>
      </c>
      <c r="I102" s="25" t="s">
        <v>266</v>
      </c>
      <c r="J102" s="25" t="s">
        <v>267</v>
      </c>
      <c r="K102" s="25" t="s">
        <v>116</v>
      </c>
    </row>
    <row r="103" spans="2:15" ht="17" customHeight="1">
      <c r="B103" s="36">
        <v>0</v>
      </c>
      <c r="C103" s="37">
        <f>IF((Up_Basis="Per kg H2 (kWh)"),$B103+(Up_RlL+Up_ElzL)/Ship_CargoL,($B103*Ship_CargoL+Up_RlL+Up_ElzL)/1000)</f>
        <v>83.6856</v>
      </c>
      <c r="D103" s="37">
        <f>IF((Up_Basis="Per kg H2 (kWh)"),(Up_HB+Up_RlN+Up_ElzN)/Up_H2N,(Up_HB+Up_RlN+Up_ElzN)/1000)</f>
        <v>4897.00357142857</v>
      </c>
      <c r="E103" s="38">
        <f>IF($B103&lt;=Up_MinPara,1,0)</f>
        <v>1</v>
      </c>
      <c r="F103" s="38">
        <f>IF(AND($B103&gt;=8,$B103&lt;=9),1,0)</f>
        <v>0</v>
      </c>
      <c r="G103" s="37" t="e">
        <f>IF(ABS($B103-Up_MinNorm)&lt;=0.025,Up_YTop,NA())</f>
        <v>#N/A</v>
      </c>
      <c r="H103" s="37" t="e">
        <f>IF(ABS($B103-Up_MinPara)&lt;=0.025,Up_YTop,NA())</f>
        <v>#N/A</v>
      </c>
      <c r="I103" s="37" t="e">
        <f>IF(ABS($B103-Up_SecL)&lt;=0.025,C103,NA())</f>
        <v>#N/A</v>
      </c>
      <c r="J103" s="37" t="e">
        <f>IF(AND(Up_Par0&gt;=0,Up_Par0&lt;=10),IF(ABS($B103-Up_Par0)&lt;=0.025,D103,NA()),NA())</f>
        <v>#N/A</v>
      </c>
      <c r="K103" s="39" t="str">
        <f>IF(MOD(0,20)=0,TEXT($B103,"0"),"")</f>
        <v>0</v>
      </c>
    </row>
    <row r="104" spans="2:15" ht="17" customHeight="1">
      <c r="B104" s="36">
        <v>0.05</v>
      </c>
      <c r="C104" s="37">
        <f>IF((Up_Basis="Per kg H2 (kWh)"),$B104+(Up_RlL+Up_ElzL)/Ship_CargoL,($B104*Ship_CargoL+Up_RlL+Up_ElzL)/1000)</f>
        <v>225.2856</v>
      </c>
      <c r="D104" s="37">
        <f>IF((Up_Basis="Per kg H2 (kWh)"),(Up_HB+Up_RlN+Up_ElzN)/Up_H2N,(Up_HB+Up_RlN+Up_ElzN)/1000)</f>
        <v>4897.00357142857</v>
      </c>
      <c r="E104" s="38">
        <f>IF($B104&lt;=Up_MinPara,1,0)</f>
        <v>1</v>
      </c>
      <c r="F104" s="38">
        <f>IF(AND($B104&gt;=8,$B104&lt;=9),1,0)</f>
        <v>0</v>
      </c>
      <c r="G104" s="37" t="e">
        <f>IF(ABS($B104-Up_MinNorm)&lt;=0.025,Up_YTop,NA())</f>
        <v>#N/A</v>
      </c>
      <c r="H104" s="37" t="e">
        <f>IF(ABS($B104-Up_MinPara)&lt;=0.025,Up_YTop,NA())</f>
        <v>#N/A</v>
      </c>
      <c r="I104" s="37" t="e">
        <f>IF(ABS($B104-Up_SecL)&lt;=0.025,C104,NA())</f>
        <v>#N/A</v>
      </c>
      <c r="J104" s="37" t="e">
        <f>IF(AND(Up_Par0&gt;=0,Up_Par0&lt;=10),IF(ABS($B104-Up_Par0)&lt;=0.025,D104,NA()),NA())</f>
        <v>#N/A</v>
      </c>
      <c r="K104" s="39">
        <f>IF(MOD(1,20)=0,TEXT($B104,"0"),"")</f>
        <v/>
      </c>
    </row>
    <row r="105" spans="2:15" ht="17" customHeight="1">
      <c r="B105" s="36">
        <v>0.1</v>
      </c>
      <c r="C105" s="37">
        <f>IF((Up_Basis="Per kg H2 (kWh)"),$B105+(Up_RlL+Up_ElzL)/Ship_CargoL,($B105*Ship_CargoL+Up_RlL+Up_ElzL)/1000)</f>
        <v>366.8856</v>
      </c>
      <c r="D105" s="37">
        <f>IF((Up_Basis="Per kg H2 (kWh)"),(Up_HB+Up_RlN+Up_ElzN)/Up_H2N,(Up_HB+Up_RlN+Up_ElzN)/1000)</f>
        <v>4897.00357142857</v>
      </c>
      <c r="E105" s="38">
        <f>IF($B105&lt;=Up_MinPara,1,0)</f>
        <v>1</v>
      </c>
      <c r="F105" s="38">
        <f>IF(AND($B105&gt;=8,$B105&lt;=9),1,0)</f>
        <v>0</v>
      </c>
      <c r="G105" s="37" t="e">
        <f>IF(ABS($B105-Up_MinNorm)&lt;=0.025,Up_YTop,NA())</f>
        <v>#N/A</v>
      </c>
      <c r="H105" s="37" t="e">
        <f>IF(ABS($B105-Up_MinPara)&lt;=0.025,Up_YTop,NA())</f>
        <v>#N/A</v>
      </c>
      <c r="I105" s="37" t="e">
        <f>IF(ABS($B105-Up_SecL)&lt;=0.025,C105,NA())</f>
        <v>#N/A</v>
      </c>
      <c r="J105" s="37" t="e">
        <f>IF(AND(Up_Par0&gt;=0,Up_Par0&lt;=10),IF(ABS($B105-Up_Par0)&lt;=0.025,D105,NA()),NA())</f>
        <v>#N/A</v>
      </c>
      <c r="K105" s="39">
        <f>IF(MOD(2,20)=0,TEXT($B105,"0"),"")</f>
        <v/>
      </c>
    </row>
    <row r="106" spans="2:15" ht="17" customHeight="1">
      <c r="B106" s="36">
        <v>0.15</v>
      </c>
      <c r="C106" s="37">
        <f>IF((Up_Basis="Per kg H2 (kWh)"),$B106+(Up_RlL+Up_ElzL)/Ship_CargoL,($B106*Ship_CargoL+Up_RlL+Up_ElzL)/1000)</f>
        <v>508.4856</v>
      </c>
      <c r="D106" s="37">
        <f>IF((Up_Basis="Per kg H2 (kWh)"),(Up_HB+Up_RlN+Up_ElzN)/Up_H2N,(Up_HB+Up_RlN+Up_ElzN)/1000)</f>
        <v>4897.00357142857</v>
      </c>
      <c r="E106" s="38">
        <f>IF($B106&lt;=Up_MinPara,1,0)</f>
        <v>1</v>
      </c>
      <c r="F106" s="38">
        <f>IF(AND($B106&gt;=8,$B106&lt;=9),1,0)</f>
        <v>0</v>
      </c>
      <c r="G106" s="37" t="e">
        <f>IF(ABS($B106-Up_MinNorm)&lt;=0.025,Up_YTop,NA())</f>
        <v>#N/A</v>
      </c>
      <c r="H106" s="37" t="e">
        <f>IF(ABS($B106-Up_MinPara)&lt;=0.025,Up_YTop,NA())</f>
        <v>#N/A</v>
      </c>
      <c r="I106" s="37" t="e">
        <f>IF(ABS($B106-Up_SecL)&lt;=0.025,C106,NA())</f>
        <v>#N/A</v>
      </c>
      <c r="J106" s="37" t="e">
        <f>IF(AND(Up_Par0&gt;=0,Up_Par0&lt;=10),IF(ABS($B106-Up_Par0)&lt;=0.025,D106,NA()),NA())</f>
        <v>#N/A</v>
      </c>
      <c r="K106" s="39">
        <f>IF(MOD(3,20)=0,TEXT($B106,"0"),"")</f>
        <v/>
      </c>
    </row>
    <row r="107" spans="2:15" ht="17" customHeight="1">
      <c r="B107" s="36">
        <v>0.2</v>
      </c>
      <c r="C107" s="37">
        <f>IF((Up_Basis="Per kg H2 (kWh)"),$B107+(Up_RlL+Up_ElzL)/Ship_CargoL,($B107*Ship_CargoL+Up_RlL+Up_ElzL)/1000)</f>
        <v>650.0856</v>
      </c>
      <c r="D107" s="37">
        <f>IF((Up_Basis="Per kg H2 (kWh)"),(Up_HB+Up_RlN+Up_ElzN)/Up_H2N,(Up_HB+Up_RlN+Up_ElzN)/1000)</f>
        <v>4897.00357142857</v>
      </c>
      <c r="E107" s="38">
        <f>IF($B107&lt;=Up_MinPara,1,0)</f>
        <v>1</v>
      </c>
      <c r="F107" s="38">
        <f>IF(AND($B107&gt;=8,$B107&lt;=9),1,0)</f>
        <v>0</v>
      </c>
      <c r="G107" s="37" t="e">
        <f>IF(ABS($B107-Up_MinNorm)&lt;=0.025,Up_YTop,NA())</f>
        <v>#N/A</v>
      </c>
      <c r="H107" s="37" t="e">
        <f>IF(ABS($B107-Up_MinPara)&lt;=0.025,Up_YTop,NA())</f>
        <v>#N/A</v>
      </c>
      <c r="I107" s="37" t="e">
        <f>IF(ABS($B107-Up_SecL)&lt;=0.025,C107,NA())</f>
        <v>#N/A</v>
      </c>
      <c r="J107" s="37" t="e">
        <f>IF(AND(Up_Par0&gt;=0,Up_Par0&lt;=10),IF(ABS($B107-Up_Par0)&lt;=0.025,D107,NA()),NA())</f>
        <v>#N/A</v>
      </c>
      <c r="K107" s="39">
        <f>IF(MOD(4,20)=0,TEXT($B107,"0"),"")</f>
        <v/>
      </c>
    </row>
    <row r="108" spans="2:15" ht="17" customHeight="1">
      <c r="B108" s="36">
        <v>0.25</v>
      </c>
      <c r="C108" s="37">
        <f>IF((Up_Basis="Per kg H2 (kWh)"),$B108+(Up_RlL+Up_ElzL)/Ship_CargoL,($B108*Ship_CargoL+Up_RlL+Up_ElzL)/1000)</f>
        <v>791.6856</v>
      </c>
      <c r="D108" s="37">
        <f>IF((Up_Basis="Per kg H2 (kWh)"),(Up_HB+Up_RlN+Up_ElzN)/Up_H2N,(Up_HB+Up_RlN+Up_ElzN)/1000)</f>
        <v>4897.00357142857</v>
      </c>
      <c r="E108" s="38">
        <f>IF($B108&lt;=Up_MinPara,1,0)</f>
        <v>1</v>
      </c>
      <c r="F108" s="38">
        <f>IF(AND($B108&gt;=8,$B108&lt;=9),1,0)</f>
        <v>0</v>
      </c>
      <c r="G108" s="37" t="e">
        <f>IF(ABS($B108-Up_MinNorm)&lt;=0.025,Up_YTop,NA())</f>
        <v>#N/A</v>
      </c>
      <c r="H108" s="37" t="e">
        <f>IF(ABS($B108-Up_MinPara)&lt;=0.025,Up_YTop,NA())</f>
        <v>#N/A</v>
      </c>
      <c r="I108" s="37" t="e">
        <f>IF(ABS($B108-Up_SecL)&lt;=0.025,C108,NA())</f>
        <v>#N/A</v>
      </c>
      <c r="J108" s="37" t="e">
        <f>IF(AND(Up_Par0&gt;=0,Up_Par0&lt;=10),IF(ABS($B108-Up_Par0)&lt;=0.025,D108,NA()),NA())</f>
        <v>#N/A</v>
      </c>
      <c r="K108" s="39">
        <f>IF(MOD(5,20)=0,TEXT($B108,"0"),"")</f>
        <v/>
      </c>
    </row>
    <row r="109" spans="2:15" ht="17" customHeight="1">
      <c r="B109" s="36">
        <v>0.3</v>
      </c>
      <c r="C109" s="37">
        <f>IF((Up_Basis="Per kg H2 (kWh)"),$B109+(Up_RlL+Up_ElzL)/Ship_CargoL,($B109*Ship_CargoL+Up_RlL+Up_ElzL)/1000)</f>
        <v>933.2856</v>
      </c>
      <c r="D109" s="37">
        <f>IF((Up_Basis="Per kg H2 (kWh)"),(Up_HB+Up_RlN+Up_ElzN)/Up_H2N,(Up_HB+Up_RlN+Up_ElzN)/1000)</f>
        <v>4897.00357142857</v>
      </c>
      <c r="E109" s="38">
        <f>IF($B109&lt;=Up_MinPara,1,0)</f>
        <v>1</v>
      </c>
      <c r="F109" s="38">
        <f>IF(AND($B109&gt;=8,$B109&lt;=9),1,0)</f>
        <v>0</v>
      </c>
      <c r="G109" s="37" t="e">
        <f>IF(ABS($B109-Up_MinNorm)&lt;=0.025,Up_YTop,NA())</f>
        <v>#N/A</v>
      </c>
      <c r="H109" s="37" t="e">
        <f>IF(ABS($B109-Up_MinPara)&lt;=0.025,Up_YTop,NA())</f>
        <v>#N/A</v>
      </c>
      <c r="I109" s="37" t="e">
        <f>IF(ABS($B109-Up_SecL)&lt;=0.025,C109,NA())</f>
        <v>#N/A</v>
      </c>
      <c r="J109" s="37" t="e">
        <f>IF(AND(Up_Par0&gt;=0,Up_Par0&lt;=10),IF(ABS($B109-Up_Par0)&lt;=0.025,D109,NA()),NA())</f>
        <v>#N/A</v>
      </c>
      <c r="K109" s="39">
        <f>IF(MOD(6,20)=0,TEXT($B109,"0"),"")</f>
        <v/>
      </c>
    </row>
    <row r="110" spans="2:15" ht="17" customHeight="1">
      <c r="B110" s="36">
        <v>0.35</v>
      </c>
      <c r="C110" s="37">
        <f>IF((Up_Basis="Per kg H2 (kWh)"),$B110+(Up_RlL+Up_ElzL)/Ship_CargoL,($B110*Ship_CargoL+Up_RlL+Up_ElzL)/1000)</f>
        <v>1074.8856</v>
      </c>
      <c r="D110" s="37">
        <f>IF((Up_Basis="Per kg H2 (kWh)"),(Up_HB+Up_RlN+Up_ElzN)/Up_H2N,(Up_HB+Up_RlN+Up_ElzN)/1000)</f>
        <v>4897.00357142857</v>
      </c>
      <c r="E110" s="38">
        <f>IF($B110&lt;=Up_MinPara,1,0)</f>
        <v>1</v>
      </c>
      <c r="F110" s="38">
        <f>IF(AND($B110&gt;=8,$B110&lt;=9),1,0)</f>
        <v>0</v>
      </c>
      <c r="G110" s="37" t="e">
        <f>IF(ABS($B110-Up_MinNorm)&lt;=0.025,Up_YTop,NA())</f>
        <v>#N/A</v>
      </c>
      <c r="H110" s="37" t="e">
        <f>IF(ABS($B110-Up_MinPara)&lt;=0.025,Up_YTop,NA())</f>
        <v>#N/A</v>
      </c>
      <c r="I110" s="37" t="e">
        <f>IF(ABS($B110-Up_SecL)&lt;=0.025,C110,NA())</f>
        <v>#N/A</v>
      </c>
      <c r="J110" s="37" t="e">
        <f>IF(AND(Up_Par0&gt;=0,Up_Par0&lt;=10),IF(ABS($B110-Up_Par0)&lt;=0.025,D110,NA()),NA())</f>
        <v>#N/A</v>
      </c>
      <c r="K110" s="39">
        <f>IF(MOD(7,20)=0,TEXT($B110,"0"),"")</f>
        <v/>
      </c>
    </row>
    <row r="111" spans="2:15" ht="17" customHeight="1">
      <c r="B111" s="36">
        <v>0.4</v>
      </c>
      <c r="C111" s="37">
        <f>IF((Up_Basis="Per kg H2 (kWh)"),$B111+(Up_RlL+Up_ElzL)/Ship_CargoL,($B111*Ship_CargoL+Up_RlL+Up_ElzL)/1000)</f>
        <v>1216.4856</v>
      </c>
      <c r="D111" s="37">
        <f>IF((Up_Basis="Per kg H2 (kWh)"),(Up_HB+Up_RlN+Up_ElzN)/Up_H2N,(Up_HB+Up_RlN+Up_ElzN)/1000)</f>
        <v>4897.00357142857</v>
      </c>
      <c r="E111" s="38">
        <f>IF($B111&lt;=Up_MinPara,1,0)</f>
        <v>1</v>
      </c>
      <c r="F111" s="38">
        <f>IF(AND($B111&gt;=8,$B111&lt;=9),1,0)</f>
        <v>0</v>
      </c>
      <c r="G111" s="37" t="e">
        <f>IF(ABS($B111-Up_MinNorm)&lt;=0.025,Up_YTop,NA())</f>
        <v>#N/A</v>
      </c>
      <c r="H111" s="37" t="e">
        <f>IF(ABS($B111-Up_MinPara)&lt;=0.025,Up_YTop,NA())</f>
        <v>#N/A</v>
      </c>
      <c r="I111" s="37" t="e">
        <f>IF(ABS($B111-Up_SecL)&lt;=0.025,C111,NA())</f>
        <v>#N/A</v>
      </c>
      <c r="J111" s="37" t="e">
        <f>IF(AND(Up_Par0&gt;=0,Up_Par0&lt;=10),IF(ABS($B111-Up_Par0)&lt;=0.025,D111,NA()),NA())</f>
        <v>#N/A</v>
      </c>
      <c r="K111" s="39">
        <f>IF(MOD(8,20)=0,TEXT($B111,"0"),"")</f>
        <v/>
      </c>
    </row>
    <row r="112" spans="2:15" ht="17" customHeight="1">
      <c r="B112" s="36">
        <v>0.45</v>
      </c>
      <c r="C112" s="37">
        <f>IF((Up_Basis="Per kg H2 (kWh)"),$B112+(Up_RlL+Up_ElzL)/Ship_CargoL,($B112*Ship_CargoL+Up_RlL+Up_ElzL)/1000)</f>
        <v>1358.0856</v>
      </c>
      <c r="D112" s="37">
        <f>IF((Up_Basis="Per kg H2 (kWh)"),(Up_HB+Up_RlN+Up_ElzN)/Up_H2N,(Up_HB+Up_RlN+Up_ElzN)/1000)</f>
        <v>4897.00357142857</v>
      </c>
      <c r="E112" s="38">
        <f>IF($B112&lt;=Up_MinPara,1,0)</f>
        <v>1</v>
      </c>
      <c r="F112" s="38">
        <f>IF(AND($B112&gt;=8,$B112&lt;=9),1,0)</f>
        <v>0</v>
      </c>
      <c r="G112" s="37" t="e">
        <f>IF(ABS($B112-Up_MinNorm)&lt;=0.025,Up_YTop,NA())</f>
        <v>#N/A</v>
      </c>
      <c r="H112" s="37" t="e">
        <f>IF(ABS($B112-Up_MinPara)&lt;=0.025,Up_YTop,NA())</f>
        <v>#N/A</v>
      </c>
      <c r="I112" s="37" t="e">
        <f>IF(ABS($B112-Up_SecL)&lt;=0.025,C112,NA())</f>
        <v>#N/A</v>
      </c>
      <c r="J112" s="37" t="e">
        <f>IF(AND(Up_Par0&gt;=0,Up_Par0&lt;=10),IF(ABS($B112-Up_Par0)&lt;=0.025,D112,NA()),NA())</f>
        <v>#N/A</v>
      </c>
      <c r="K112" s="39">
        <f>IF(MOD(9,20)=0,TEXT($B112,"0"),"")</f>
        <v/>
      </c>
    </row>
    <row r="113" spans="2:11" ht="17" customHeight="1">
      <c r="B113" s="36">
        <v>0.5</v>
      </c>
      <c r="C113" s="37">
        <f>IF((Up_Basis="Per kg H2 (kWh)"),$B113+(Up_RlL+Up_ElzL)/Ship_CargoL,($B113*Ship_CargoL+Up_RlL+Up_ElzL)/1000)</f>
        <v>1499.6856</v>
      </c>
      <c r="D113" s="37">
        <f>IF((Up_Basis="Per kg H2 (kWh)"),(Up_HB+Up_RlN+Up_ElzN)/Up_H2N,(Up_HB+Up_RlN+Up_ElzN)/1000)</f>
        <v>4897.00357142857</v>
      </c>
      <c r="E113" s="38">
        <f>IF($B113&lt;=Up_MinPara,1,0)</f>
        <v>1</v>
      </c>
      <c r="F113" s="38">
        <f>IF(AND($B113&gt;=8,$B113&lt;=9),1,0)</f>
        <v>0</v>
      </c>
      <c r="G113" s="37" t="e">
        <f>IF(ABS($B113-Up_MinNorm)&lt;=0.025,Up_YTop,NA())</f>
        <v>#N/A</v>
      </c>
      <c r="H113" s="37" t="e">
        <f>IF(ABS($B113-Up_MinPara)&lt;=0.025,Up_YTop,NA())</f>
        <v>#N/A</v>
      </c>
      <c r="I113" s="37" t="e">
        <f>IF(ABS($B113-Up_SecL)&lt;=0.025,C113,NA())</f>
        <v>#N/A</v>
      </c>
      <c r="J113" s="37" t="e">
        <f>IF(AND(Up_Par0&gt;=0,Up_Par0&lt;=10),IF(ABS($B113-Up_Par0)&lt;=0.025,D113,NA()),NA())</f>
        <v>#N/A</v>
      </c>
      <c r="K113" s="39">
        <f>IF(MOD(10,20)=0,TEXT($B113,"0"),"")</f>
        <v/>
      </c>
    </row>
    <row r="114" spans="2:11" ht="17" customHeight="1">
      <c r="B114" s="36">
        <v>0.55</v>
      </c>
      <c r="C114" s="37">
        <f>IF((Up_Basis="Per kg H2 (kWh)"),$B114+(Up_RlL+Up_ElzL)/Ship_CargoL,($B114*Ship_CargoL+Up_RlL+Up_ElzL)/1000)</f>
        <v>1641.2856</v>
      </c>
      <c r="D114" s="37">
        <f>IF((Up_Basis="Per kg H2 (kWh)"),(Up_HB+Up_RlN+Up_ElzN)/Up_H2N,(Up_HB+Up_RlN+Up_ElzN)/1000)</f>
        <v>4897.00357142857</v>
      </c>
      <c r="E114" s="38">
        <f>IF($B114&lt;=Up_MinPara,1,0)</f>
        <v>1</v>
      </c>
      <c r="F114" s="38">
        <f>IF(AND($B114&gt;=8,$B114&lt;=9),1,0)</f>
        <v>0</v>
      </c>
      <c r="G114" s="37" t="e">
        <f>IF(ABS($B114-Up_MinNorm)&lt;=0.025,Up_YTop,NA())</f>
        <v>#N/A</v>
      </c>
      <c r="H114" s="37" t="e">
        <f>IF(ABS($B114-Up_MinPara)&lt;=0.025,Up_YTop,NA())</f>
        <v>#N/A</v>
      </c>
      <c r="I114" s="37" t="e">
        <f>IF(ABS($B114-Up_SecL)&lt;=0.025,C114,NA())</f>
        <v>#N/A</v>
      </c>
      <c r="J114" s="37" t="e">
        <f>IF(AND(Up_Par0&gt;=0,Up_Par0&lt;=10),IF(ABS($B114-Up_Par0)&lt;=0.025,D114,NA()),NA())</f>
        <v>#N/A</v>
      </c>
      <c r="K114" s="39">
        <f>IF(MOD(11,20)=0,TEXT($B114,"0"),"")</f>
        <v/>
      </c>
    </row>
    <row r="115" spans="2:11" ht="17" customHeight="1">
      <c r="B115" s="36">
        <v>0.6</v>
      </c>
      <c r="C115" s="37">
        <f>IF((Up_Basis="Per kg H2 (kWh)"),$B115+(Up_RlL+Up_ElzL)/Ship_CargoL,($B115*Ship_CargoL+Up_RlL+Up_ElzL)/1000)</f>
        <v>1782.8856</v>
      </c>
      <c r="D115" s="37">
        <f>IF((Up_Basis="Per kg H2 (kWh)"),(Up_HB+Up_RlN+Up_ElzN)/Up_H2N,(Up_HB+Up_RlN+Up_ElzN)/1000)</f>
        <v>4897.00357142857</v>
      </c>
      <c r="E115" s="38">
        <f>IF($B115&lt;=Up_MinPara,1,0)</f>
        <v>1</v>
      </c>
      <c r="F115" s="38">
        <f>IF(AND($B115&gt;=8,$B115&lt;=9),1,0)</f>
        <v>0</v>
      </c>
      <c r="G115" s="37" t="e">
        <f>IF(ABS($B115-Up_MinNorm)&lt;=0.025,Up_YTop,NA())</f>
        <v>#N/A</v>
      </c>
      <c r="H115" s="37" t="e">
        <f>IF(ABS($B115-Up_MinPara)&lt;=0.025,Up_YTop,NA())</f>
        <v>#N/A</v>
      </c>
      <c r="I115" s="37" t="e">
        <f>IF(ABS($B115-Up_SecL)&lt;=0.025,C115,NA())</f>
        <v>#N/A</v>
      </c>
      <c r="J115" s="37" t="e">
        <f>IF(AND(Up_Par0&gt;=0,Up_Par0&lt;=10),IF(ABS($B115-Up_Par0)&lt;=0.025,D115,NA()),NA())</f>
        <v>#N/A</v>
      </c>
      <c r="K115" s="39">
        <f>IF(MOD(12,20)=0,TEXT($B115,"0"),"")</f>
        <v/>
      </c>
    </row>
    <row r="116" spans="2:11" ht="17" customHeight="1">
      <c r="B116" s="36">
        <v>0.65</v>
      </c>
      <c r="C116" s="37">
        <f>IF((Up_Basis="Per kg H2 (kWh)"),$B116+(Up_RlL+Up_ElzL)/Ship_CargoL,($B116*Ship_CargoL+Up_RlL+Up_ElzL)/1000)</f>
        <v>1924.4856</v>
      </c>
      <c r="D116" s="37">
        <f>IF((Up_Basis="Per kg H2 (kWh)"),(Up_HB+Up_RlN+Up_ElzN)/Up_H2N,(Up_HB+Up_RlN+Up_ElzN)/1000)</f>
        <v>4897.00357142857</v>
      </c>
      <c r="E116" s="38">
        <f>IF($B116&lt;=Up_MinPara,1,0)</f>
        <v>1</v>
      </c>
      <c r="F116" s="38">
        <f>IF(AND($B116&gt;=8,$B116&lt;=9),1,0)</f>
        <v>0</v>
      </c>
      <c r="G116" s="37" t="e">
        <f>IF(ABS($B116-Up_MinNorm)&lt;=0.025,Up_YTop,NA())</f>
        <v>#N/A</v>
      </c>
      <c r="H116" s="37" t="e">
        <f>IF(ABS($B116-Up_MinPara)&lt;=0.025,Up_YTop,NA())</f>
        <v>#N/A</v>
      </c>
      <c r="I116" s="37" t="e">
        <f>IF(ABS($B116-Up_SecL)&lt;=0.025,C116,NA())</f>
        <v>#N/A</v>
      </c>
      <c r="J116" s="37" t="e">
        <f>IF(AND(Up_Par0&gt;=0,Up_Par0&lt;=10),IF(ABS($B116-Up_Par0)&lt;=0.025,D116,NA()),NA())</f>
        <v>#N/A</v>
      </c>
      <c r="K116" s="39">
        <f>IF(MOD(13,20)=0,TEXT($B116,"0"),"")</f>
        <v/>
      </c>
    </row>
    <row r="117" spans="2:11" ht="17" customHeight="1">
      <c r="B117" s="36">
        <v>0.7</v>
      </c>
      <c r="C117" s="37">
        <f>IF((Up_Basis="Per kg H2 (kWh)"),$B117+(Up_RlL+Up_ElzL)/Ship_CargoL,($B117*Ship_CargoL+Up_RlL+Up_ElzL)/1000)</f>
        <v>2066.0856</v>
      </c>
      <c r="D117" s="37">
        <f>IF((Up_Basis="Per kg H2 (kWh)"),(Up_HB+Up_RlN+Up_ElzN)/Up_H2N,(Up_HB+Up_RlN+Up_ElzN)/1000)</f>
        <v>4897.00357142857</v>
      </c>
      <c r="E117" s="38">
        <f>IF($B117&lt;=Up_MinPara,1,0)</f>
        <v>1</v>
      </c>
      <c r="F117" s="38">
        <f>IF(AND($B117&gt;=8,$B117&lt;=9),1,0)</f>
        <v>0</v>
      </c>
      <c r="G117" s="37" t="e">
        <f>IF(ABS($B117-Up_MinNorm)&lt;=0.025,Up_YTop,NA())</f>
        <v>#N/A</v>
      </c>
      <c r="H117" s="37" t="e">
        <f>IF(ABS($B117-Up_MinPara)&lt;=0.025,Up_YTop,NA())</f>
        <v>#N/A</v>
      </c>
      <c r="I117" s="37" t="e">
        <f>IF(ABS($B117-Up_SecL)&lt;=0.025,C117,NA())</f>
        <v>#N/A</v>
      </c>
      <c r="J117" s="37" t="e">
        <f>IF(AND(Up_Par0&gt;=0,Up_Par0&lt;=10),IF(ABS($B117-Up_Par0)&lt;=0.025,D117,NA()),NA())</f>
        <v>#N/A</v>
      </c>
      <c r="K117" s="39">
        <f>IF(MOD(14,20)=0,TEXT($B117,"0"),"")</f>
        <v/>
      </c>
    </row>
    <row r="118" spans="2:11" ht="17" customHeight="1">
      <c r="B118" s="36">
        <v>0.75</v>
      </c>
      <c r="C118" s="37">
        <f>IF((Up_Basis="Per kg H2 (kWh)"),$B118+(Up_RlL+Up_ElzL)/Ship_CargoL,($B118*Ship_CargoL+Up_RlL+Up_ElzL)/1000)</f>
        <v>2207.6856</v>
      </c>
      <c r="D118" s="37">
        <f>IF((Up_Basis="Per kg H2 (kWh)"),(Up_HB+Up_RlN+Up_ElzN)/Up_H2N,(Up_HB+Up_RlN+Up_ElzN)/1000)</f>
        <v>4897.00357142857</v>
      </c>
      <c r="E118" s="38">
        <f>IF($B118&lt;=Up_MinPara,1,0)</f>
        <v>1</v>
      </c>
      <c r="F118" s="38">
        <f>IF(AND($B118&gt;=8,$B118&lt;=9),1,0)</f>
        <v>0</v>
      </c>
      <c r="G118" s="37" t="e">
        <f>IF(ABS($B118-Up_MinNorm)&lt;=0.025,Up_YTop,NA())</f>
        <v>#N/A</v>
      </c>
      <c r="H118" s="37" t="e">
        <f>IF(ABS($B118-Up_MinPara)&lt;=0.025,Up_YTop,NA())</f>
        <v>#N/A</v>
      </c>
      <c r="I118" s="37" t="e">
        <f>IF(ABS($B118-Up_SecL)&lt;=0.025,C118,NA())</f>
        <v>#N/A</v>
      </c>
      <c r="J118" s="37" t="e">
        <f>IF(AND(Up_Par0&gt;=0,Up_Par0&lt;=10),IF(ABS($B118-Up_Par0)&lt;=0.025,D118,NA()),NA())</f>
        <v>#N/A</v>
      </c>
      <c r="K118" s="39">
        <f>IF(MOD(15,20)=0,TEXT($B118,"0"),"")</f>
        <v/>
      </c>
    </row>
    <row r="119" spans="2:11" ht="17" customHeight="1">
      <c r="B119" s="36">
        <v>0.8</v>
      </c>
      <c r="C119" s="37">
        <f>IF((Up_Basis="Per kg H2 (kWh)"),$B119+(Up_RlL+Up_ElzL)/Ship_CargoL,($B119*Ship_CargoL+Up_RlL+Up_ElzL)/1000)</f>
        <v>2349.2856</v>
      </c>
      <c r="D119" s="37">
        <f>IF((Up_Basis="Per kg H2 (kWh)"),(Up_HB+Up_RlN+Up_ElzN)/Up_H2N,(Up_HB+Up_RlN+Up_ElzN)/1000)</f>
        <v>4897.00357142857</v>
      </c>
      <c r="E119" s="38">
        <f>IF($B119&lt;=Up_MinPara,1,0)</f>
        <v>1</v>
      </c>
      <c r="F119" s="38">
        <f>IF(AND($B119&gt;=8,$B119&lt;=9),1,0)</f>
        <v>0</v>
      </c>
      <c r="G119" s="37" t="e">
        <f>IF(ABS($B119-Up_MinNorm)&lt;=0.025,Up_YTop,NA())</f>
        <v>#N/A</v>
      </c>
      <c r="H119" s="37" t="e">
        <f>IF(ABS($B119-Up_MinPara)&lt;=0.025,Up_YTop,NA())</f>
        <v>#N/A</v>
      </c>
      <c r="I119" s="37" t="e">
        <f>IF(ABS($B119-Up_SecL)&lt;=0.025,C119,NA())</f>
        <v>#N/A</v>
      </c>
      <c r="J119" s="37" t="e">
        <f>IF(AND(Up_Par0&gt;=0,Up_Par0&lt;=10),IF(ABS($B119-Up_Par0)&lt;=0.025,D119,NA()),NA())</f>
        <v>#N/A</v>
      </c>
      <c r="K119" s="39">
        <f>IF(MOD(16,20)=0,TEXT($B119,"0"),"")</f>
        <v/>
      </c>
    </row>
    <row r="120" spans="2:11" ht="17" customHeight="1">
      <c r="B120" s="36">
        <v>0.85</v>
      </c>
      <c r="C120" s="37">
        <f>IF((Up_Basis="Per kg H2 (kWh)"),$B120+(Up_RlL+Up_ElzL)/Ship_CargoL,($B120*Ship_CargoL+Up_RlL+Up_ElzL)/1000)</f>
        <v>2490.8856</v>
      </c>
      <c r="D120" s="37">
        <f>IF((Up_Basis="Per kg H2 (kWh)"),(Up_HB+Up_RlN+Up_ElzN)/Up_H2N,(Up_HB+Up_RlN+Up_ElzN)/1000)</f>
        <v>4897.00357142857</v>
      </c>
      <c r="E120" s="38">
        <f>IF($B120&lt;=Up_MinPara,1,0)</f>
        <v>1</v>
      </c>
      <c r="F120" s="38">
        <f>IF(AND($B120&gt;=8,$B120&lt;=9),1,0)</f>
        <v>0</v>
      </c>
      <c r="G120" s="37" t="e">
        <f>IF(ABS($B120-Up_MinNorm)&lt;=0.025,Up_YTop,NA())</f>
        <v>#N/A</v>
      </c>
      <c r="H120" s="37" t="e">
        <f>IF(ABS($B120-Up_MinPara)&lt;=0.025,Up_YTop,NA())</f>
        <v>#N/A</v>
      </c>
      <c r="I120" s="37" t="e">
        <f>IF(ABS($B120-Up_SecL)&lt;=0.025,C120,NA())</f>
        <v>#N/A</v>
      </c>
      <c r="J120" s="37" t="e">
        <f>IF(AND(Up_Par0&gt;=0,Up_Par0&lt;=10),IF(ABS($B120-Up_Par0)&lt;=0.025,D120,NA()),NA())</f>
        <v>#N/A</v>
      </c>
      <c r="K120" s="39">
        <f>IF(MOD(17,20)=0,TEXT($B120,"0"),"")</f>
        <v/>
      </c>
    </row>
    <row r="121" spans="2:11" ht="17" customHeight="1">
      <c r="B121" s="36">
        <v>0.9</v>
      </c>
      <c r="C121" s="37">
        <f>IF((Up_Basis="Per kg H2 (kWh)"),$B121+(Up_RlL+Up_ElzL)/Ship_CargoL,($B121*Ship_CargoL+Up_RlL+Up_ElzL)/1000)</f>
        <v>2632.4856</v>
      </c>
      <c r="D121" s="37">
        <f>IF((Up_Basis="Per kg H2 (kWh)"),(Up_HB+Up_RlN+Up_ElzN)/Up_H2N,(Up_HB+Up_RlN+Up_ElzN)/1000)</f>
        <v>4897.00357142857</v>
      </c>
      <c r="E121" s="38">
        <f>IF($B121&lt;=Up_MinPara,1,0)</f>
        <v>1</v>
      </c>
      <c r="F121" s="38">
        <f>IF(AND($B121&gt;=8,$B121&lt;=9),1,0)</f>
        <v>0</v>
      </c>
      <c r="G121" s="37" t="e">
        <f>IF(ABS($B121-Up_MinNorm)&lt;=0.025,Up_YTop,NA())</f>
        <v>#N/A</v>
      </c>
      <c r="H121" s="37" t="e">
        <f>IF(ABS($B121-Up_MinPara)&lt;=0.025,Up_YTop,NA())</f>
        <v>#N/A</v>
      </c>
      <c r="I121" s="37" t="e">
        <f>IF(ABS($B121-Up_SecL)&lt;=0.025,C121,NA())</f>
        <v>#N/A</v>
      </c>
      <c r="J121" s="37" t="e">
        <f>IF(AND(Up_Par0&gt;=0,Up_Par0&lt;=10),IF(ABS($B121-Up_Par0)&lt;=0.025,D121,NA()),NA())</f>
        <v>#N/A</v>
      </c>
      <c r="K121" s="39">
        <f>IF(MOD(18,20)=0,TEXT($B121,"0"),"")</f>
        <v/>
      </c>
    </row>
    <row r="122" spans="2:11" ht="17" customHeight="1">
      <c r="B122" s="36">
        <v>0.95</v>
      </c>
      <c r="C122" s="37">
        <f>IF((Up_Basis="Per kg H2 (kWh)"),$B122+(Up_RlL+Up_ElzL)/Ship_CargoL,($B122*Ship_CargoL+Up_RlL+Up_ElzL)/1000)</f>
        <v>2774.0856</v>
      </c>
      <c r="D122" s="37">
        <f>IF((Up_Basis="Per kg H2 (kWh)"),(Up_HB+Up_RlN+Up_ElzN)/Up_H2N,(Up_HB+Up_RlN+Up_ElzN)/1000)</f>
        <v>4897.00357142857</v>
      </c>
      <c r="E122" s="38">
        <f>IF($B122&lt;=Up_MinPara,1,0)</f>
        <v>1</v>
      </c>
      <c r="F122" s="38">
        <f>IF(AND($B122&gt;=8,$B122&lt;=9),1,0)</f>
        <v>0</v>
      </c>
      <c r="G122" s="37" t="e">
        <f>IF(ABS($B122-Up_MinNorm)&lt;=0.025,Up_YTop,NA())</f>
        <v>#N/A</v>
      </c>
      <c r="H122" s="37" t="e">
        <f>IF(ABS($B122-Up_MinPara)&lt;=0.025,Up_YTop,NA())</f>
        <v>#N/A</v>
      </c>
      <c r="I122" s="37" t="e">
        <f>IF(ABS($B122-Up_SecL)&lt;=0.025,C122,NA())</f>
        <v>#N/A</v>
      </c>
      <c r="J122" s="37" t="e">
        <f>IF(AND(Up_Par0&gt;=0,Up_Par0&lt;=10),IF(ABS($B122-Up_Par0)&lt;=0.025,D122,NA()),NA())</f>
        <v>#N/A</v>
      </c>
      <c r="K122" s="39">
        <f>IF(MOD(19,20)=0,TEXT($B122,"0"),"")</f>
        <v/>
      </c>
    </row>
    <row r="123" spans="2:11" ht="17" customHeight="1">
      <c r="B123" s="36">
        <v>1</v>
      </c>
      <c r="C123" s="37">
        <f>IF((Up_Basis="Per kg H2 (kWh)"),$B123+(Up_RlL+Up_ElzL)/Ship_CargoL,($B123*Ship_CargoL+Up_RlL+Up_ElzL)/1000)</f>
        <v>2915.6856</v>
      </c>
      <c r="D123" s="37">
        <f>IF((Up_Basis="Per kg H2 (kWh)"),(Up_HB+Up_RlN+Up_ElzN)/Up_H2N,(Up_HB+Up_RlN+Up_ElzN)/1000)</f>
        <v>4897.00357142857</v>
      </c>
      <c r="E123" s="38">
        <f>IF($B123&lt;=Up_MinPara,1,0)</f>
        <v>1</v>
      </c>
      <c r="F123" s="38">
        <f>IF(AND($B123&gt;=8,$B123&lt;=9),1,0)</f>
        <v>0</v>
      </c>
      <c r="G123" s="37" t="e">
        <f>IF(ABS($B123-Up_MinNorm)&lt;=0.025,Up_YTop,NA())</f>
        <v>#N/A</v>
      </c>
      <c r="H123" s="37" t="e">
        <f>IF(ABS($B123-Up_MinPara)&lt;=0.025,Up_YTop,NA())</f>
        <v>#N/A</v>
      </c>
      <c r="I123" s="37" t="e">
        <f>IF(ABS($B123-Up_SecL)&lt;=0.025,C123,NA())</f>
        <v>#N/A</v>
      </c>
      <c r="J123" s="37" t="e">
        <f>IF(AND(Up_Par0&gt;=0,Up_Par0&lt;=10),IF(ABS($B123-Up_Par0)&lt;=0.025,D123,NA()),NA())</f>
        <v>#N/A</v>
      </c>
      <c r="K123" s="39" t="str">
        <f>IF(MOD(20,20)=0,TEXT($B123,"0"),"")</f>
        <v>1</v>
      </c>
    </row>
    <row r="124" spans="2:11" ht="17" customHeight="1">
      <c r="B124" s="36">
        <v>1.05</v>
      </c>
      <c r="C124" s="37">
        <f>IF((Up_Basis="Per kg H2 (kWh)"),$B124+(Up_RlL+Up_ElzL)/Ship_CargoL,($B124*Ship_CargoL+Up_RlL+Up_ElzL)/1000)</f>
        <v>3057.2856</v>
      </c>
      <c r="D124" s="37">
        <f>IF((Up_Basis="Per kg H2 (kWh)"),(Up_HB+Up_RlN+Up_ElzN)/Up_H2N,(Up_HB+Up_RlN+Up_ElzN)/1000)</f>
        <v>4897.00357142857</v>
      </c>
      <c r="E124" s="38">
        <f>IF($B124&lt;=Up_MinPara,1,0)</f>
        <v>1</v>
      </c>
      <c r="F124" s="38">
        <f>IF(AND($B124&gt;=8,$B124&lt;=9),1,0)</f>
        <v>0</v>
      </c>
      <c r="G124" s="37" t="e">
        <f>IF(ABS($B124-Up_MinNorm)&lt;=0.025,Up_YTop,NA())</f>
        <v>#N/A</v>
      </c>
      <c r="H124" s="37" t="e">
        <f>IF(ABS($B124-Up_MinPara)&lt;=0.025,Up_YTop,NA())</f>
        <v>#N/A</v>
      </c>
      <c r="I124" s="37" t="e">
        <f>IF(ABS($B124-Up_SecL)&lt;=0.025,C124,NA())</f>
        <v>#N/A</v>
      </c>
      <c r="J124" s="37" t="e">
        <f>IF(AND(Up_Par0&gt;=0,Up_Par0&lt;=10),IF(ABS($B124-Up_Par0)&lt;=0.025,D124,NA()),NA())</f>
        <v>#N/A</v>
      </c>
      <c r="K124" s="39">
        <f>IF(MOD(21,20)=0,TEXT($B124,"0"),"")</f>
        <v/>
      </c>
    </row>
    <row r="125" spans="2:11" ht="17" customHeight="1">
      <c r="B125" s="36">
        <v>1.1</v>
      </c>
      <c r="C125" s="37">
        <f>IF((Up_Basis="Per kg H2 (kWh)"),$B125+(Up_RlL+Up_ElzL)/Ship_CargoL,($B125*Ship_CargoL+Up_RlL+Up_ElzL)/1000)</f>
        <v>3198.8856</v>
      </c>
      <c r="D125" s="37">
        <f>IF((Up_Basis="Per kg H2 (kWh)"),(Up_HB+Up_RlN+Up_ElzN)/Up_H2N,(Up_HB+Up_RlN+Up_ElzN)/1000)</f>
        <v>4897.00357142857</v>
      </c>
      <c r="E125" s="38">
        <f>IF($B125&lt;=Up_MinPara,1,0)</f>
        <v>1</v>
      </c>
      <c r="F125" s="38">
        <f>IF(AND($B125&gt;=8,$B125&lt;=9),1,0)</f>
        <v>0</v>
      </c>
      <c r="G125" s="37" t="e">
        <f>IF(ABS($B125-Up_MinNorm)&lt;=0.025,Up_YTop,NA())</f>
        <v>#N/A</v>
      </c>
      <c r="H125" s="37" t="e">
        <f>IF(ABS($B125-Up_MinPara)&lt;=0.025,Up_YTop,NA())</f>
        <v>#N/A</v>
      </c>
      <c r="I125" s="37" t="e">
        <f>IF(ABS($B125-Up_SecL)&lt;=0.025,C125,NA())</f>
        <v>#N/A</v>
      </c>
      <c r="J125" s="37" t="e">
        <f>IF(AND(Up_Par0&gt;=0,Up_Par0&lt;=10),IF(ABS($B125-Up_Par0)&lt;=0.025,D125,NA()),NA())</f>
        <v>#N/A</v>
      </c>
      <c r="K125" s="39">
        <f>IF(MOD(22,20)=0,TEXT($B125,"0"),"")</f>
        <v/>
      </c>
    </row>
    <row r="126" spans="2:11" ht="17" customHeight="1">
      <c r="B126" s="36">
        <v>1.15</v>
      </c>
      <c r="C126" s="37">
        <f>IF((Up_Basis="Per kg H2 (kWh)"),$B126+(Up_RlL+Up_ElzL)/Ship_CargoL,($B126*Ship_CargoL+Up_RlL+Up_ElzL)/1000)</f>
        <v>3340.4856</v>
      </c>
      <c r="D126" s="37">
        <f>IF((Up_Basis="Per kg H2 (kWh)"),(Up_HB+Up_RlN+Up_ElzN)/Up_H2N,(Up_HB+Up_RlN+Up_ElzN)/1000)</f>
        <v>4897.00357142857</v>
      </c>
      <c r="E126" s="38">
        <f>IF($B126&lt;=Up_MinPara,1,0)</f>
        <v>1</v>
      </c>
      <c r="F126" s="38">
        <f>IF(AND($B126&gt;=8,$B126&lt;=9),1,0)</f>
        <v>0</v>
      </c>
      <c r="G126" s="37" t="e">
        <f>IF(ABS($B126-Up_MinNorm)&lt;=0.025,Up_YTop,NA())</f>
        <v>#N/A</v>
      </c>
      <c r="H126" s="37" t="e">
        <f>IF(ABS($B126-Up_MinPara)&lt;=0.025,Up_YTop,NA())</f>
        <v>#N/A</v>
      </c>
      <c r="I126" s="37" t="e">
        <f>IF(ABS($B126-Up_SecL)&lt;=0.025,C126,NA())</f>
        <v>#N/A</v>
      </c>
      <c r="J126" s="37" t="e">
        <f>IF(AND(Up_Par0&gt;=0,Up_Par0&lt;=10),IF(ABS($B126-Up_Par0)&lt;=0.025,D126,NA()),NA())</f>
        <v>#N/A</v>
      </c>
      <c r="K126" s="39">
        <f>IF(MOD(23,20)=0,TEXT($B126,"0"),"")</f>
        <v/>
      </c>
    </row>
    <row r="127" spans="2:11" ht="17" customHeight="1">
      <c r="B127" s="36">
        <v>1.2</v>
      </c>
      <c r="C127" s="37">
        <f>IF((Up_Basis="Per kg H2 (kWh)"),$B127+(Up_RlL+Up_ElzL)/Ship_CargoL,($B127*Ship_CargoL+Up_RlL+Up_ElzL)/1000)</f>
        <v>3482.0856</v>
      </c>
      <c r="D127" s="37">
        <f>IF((Up_Basis="Per kg H2 (kWh)"),(Up_HB+Up_RlN+Up_ElzN)/Up_H2N,(Up_HB+Up_RlN+Up_ElzN)/1000)</f>
        <v>4897.00357142857</v>
      </c>
      <c r="E127" s="38">
        <f>IF($B127&lt;=Up_MinPara,1,0)</f>
        <v>1</v>
      </c>
      <c r="F127" s="38">
        <f>IF(AND($B127&gt;=8,$B127&lt;=9),1,0)</f>
        <v>0</v>
      </c>
      <c r="G127" s="37" t="e">
        <f>IF(ABS($B127-Up_MinNorm)&lt;=0.025,Up_YTop,NA())</f>
        <v>#N/A</v>
      </c>
      <c r="H127" s="37" t="e">
        <f>IF(ABS($B127-Up_MinPara)&lt;=0.025,Up_YTop,NA())</f>
        <v>#N/A</v>
      </c>
      <c r="I127" s="37" t="e">
        <f>IF(ABS($B127-Up_SecL)&lt;=0.025,C127,NA())</f>
        <v>#N/A</v>
      </c>
      <c r="J127" s="37" t="e">
        <f>IF(AND(Up_Par0&gt;=0,Up_Par0&lt;=10),IF(ABS($B127-Up_Par0)&lt;=0.025,D127,NA()),NA())</f>
        <v>#N/A</v>
      </c>
      <c r="K127" s="39">
        <f>IF(MOD(24,20)=0,TEXT($B127,"0"),"")</f>
        <v/>
      </c>
    </row>
    <row r="128" spans="2:11" ht="17" customHeight="1">
      <c r="B128" s="36">
        <v>1.25</v>
      </c>
      <c r="C128" s="37">
        <f>IF((Up_Basis="Per kg H2 (kWh)"),$B128+(Up_RlL+Up_ElzL)/Ship_CargoL,($B128*Ship_CargoL+Up_RlL+Up_ElzL)/1000)</f>
        <v>3623.6856</v>
      </c>
      <c r="D128" s="37">
        <f>IF((Up_Basis="Per kg H2 (kWh)"),(Up_HB+Up_RlN+Up_ElzN)/Up_H2N,(Up_HB+Up_RlN+Up_ElzN)/1000)</f>
        <v>4897.00357142857</v>
      </c>
      <c r="E128" s="38">
        <f>IF($B128&lt;=Up_MinPara,1,0)</f>
        <v>1</v>
      </c>
      <c r="F128" s="38">
        <f>IF(AND($B128&gt;=8,$B128&lt;=9),1,0)</f>
        <v>0</v>
      </c>
      <c r="G128" s="37" t="e">
        <f>IF(ABS($B128-Up_MinNorm)&lt;=0.025,Up_YTop,NA())</f>
        <v>#N/A</v>
      </c>
      <c r="H128" s="37" t="e">
        <f>IF(ABS($B128-Up_MinPara)&lt;=0.025,Up_YTop,NA())</f>
        <v>#N/A</v>
      </c>
      <c r="I128" s="37" t="e">
        <f>IF(ABS($B128-Up_SecL)&lt;=0.025,C128,NA())</f>
        <v>#N/A</v>
      </c>
      <c r="J128" s="37" t="e">
        <f>IF(AND(Up_Par0&gt;=0,Up_Par0&lt;=10),IF(ABS($B128-Up_Par0)&lt;=0.025,D128,NA()),NA())</f>
        <v>#N/A</v>
      </c>
      <c r="K128" s="39">
        <f>IF(MOD(25,20)=0,TEXT($B128,"0"),"")</f>
        <v/>
      </c>
    </row>
    <row r="129" spans="2:11" ht="17" customHeight="1">
      <c r="B129" s="36">
        <v>1.3</v>
      </c>
      <c r="C129" s="37">
        <f>IF((Up_Basis="Per kg H2 (kWh)"),$B129+(Up_RlL+Up_ElzL)/Ship_CargoL,($B129*Ship_CargoL+Up_RlL+Up_ElzL)/1000)</f>
        <v>3765.2856</v>
      </c>
      <c r="D129" s="37">
        <f>IF((Up_Basis="Per kg H2 (kWh)"),(Up_HB+Up_RlN+Up_ElzN)/Up_H2N,(Up_HB+Up_RlN+Up_ElzN)/1000)</f>
        <v>4897.00357142857</v>
      </c>
      <c r="E129" s="38">
        <f>IF($B129&lt;=Up_MinPara,1,0)</f>
        <v>1</v>
      </c>
      <c r="F129" s="38">
        <f>IF(AND($B129&gt;=8,$B129&lt;=9),1,0)</f>
        <v>0</v>
      </c>
      <c r="G129" s="37" t="e">
        <f>IF(ABS($B129-Up_MinNorm)&lt;=0.025,Up_YTop,NA())</f>
        <v>#N/A</v>
      </c>
      <c r="H129" s="37" t="e">
        <f>IF(ABS($B129-Up_MinPara)&lt;=0.025,Up_YTop,NA())</f>
        <v>#N/A</v>
      </c>
      <c r="I129" s="37" t="e">
        <f>IF(ABS($B129-Up_SecL)&lt;=0.025,C129,NA())</f>
        <v>#N/A</v>
      </c>
      <c r="J129" s="37" t="e">
        <f>IF(AND(Up_Par0&gt;=0,Up_Par0&lt;=10),IF(ABS($B129-Up_Par0)&lt;=0.025,D129,NA()),NA())</f>
        <v>#N/A</v>
      </c>
      <c r="K129" s="39">
        <f>IF(MOD(26,20)=0,TEXT($B129,"0"),"")</f>
        <v/>
      </c>
    </row>
    <row r="130" spans="2:11" ht="17" customHeight="1">
      <c r="B130" s="36">
        <v>1.35</v>
      </c>
      <c r="C130" s="37">
        <f>IF((Up_Basis="Per kg H2 (kWh)"),$B130+(Up_RlL+Up_ElzL)/Ship_CargoL,($B130*Ship_CargoL+Up_RlL+Up_ElzL)/1000)</f>
        <v>3906.8856</v>
      </c>
      <c r="D130" s="37">
        <f>IF((Up_Basis="Per kg H2 (kWh)"),(Up_HB+Up_RlN+Up_ElzN)/Up_H2N,(Up_HB+Up_RlN+Up_ElzN)/1000)</f>
        <v>4897.00357142857</v>
      </c>
      <c r="E130" s="38">
        <f>IF($B130&lt;=Up_MinPara,1,0)</f>
        <v>1</v>
      </c>
      <c r="F130" s="38">
        <f>IF(AND($B130&gt;=8,$B130&lt;=9),1,0)</f>
        <v>0</v>
      </c>
      <c r="G130" s="37" t="e">
        <f>IF(ABS($B130-Up_MinNorm)&lt;=0.025,Up_YTop,NA())</f>
        <v>#N/A</v>
      </c>
      <c r="H130" s="37" t="e">
        <f>IF(ABS($B130-Up_MinPara)&lt;=0.025,Up_YTop,NA())</f>
        <v>#N/A</v>
      </c>
      <c r="I130" s="37" t="e">
        <f>IF(ABS($B130-Up_SecL)&lt;=0.025,C130,NA())</f>
        <v>#N/A</v>
      </c>
      <c r="J130" s="37" t="e">
        <f>IF(AND(Up_Par0&gt;=0,Up_Par0&lt;=10),IF(ABS($B130-Up_Par0)&lt;=0.025,D130,NA()),NA())</f>
        <v>#N/A</v>
      </c>
      <c r="K130" s="39">
        <f>IF(MOD(27,20)=0,TEXT($B130,"0"),"")</f>
        <v/>
      </c>
    </row>
    <row r="131" spans="2:11" ht="17" customHeight="1">
      <c r="B131" s="36">
        <v>1.4</v>
      </c>
      <c r="C131" s="37">
        <f>IF((Up_Basis="Per kg H2 (kWh)"),$B131+(Up_RlL+Up_ElzL)/Ship_CargoL,($B131*Ship_CargoL+Up_RlL+Up_ElzL)/1000)</f>
        <v>4048.4856</v>
      </c>
      <c r="D131" s="37">
        <f>IF((Up_Basis="Per kg H2 (kWh)"),(Up_HB+Up_RlN+Up_ElzN)/Up_H2N,(Up_HB+Up_RlN+Up_ElzN)/1000)</f>
        <v>4897.00357142857</v>
      </c>
      <c r="E131" s="38">
        <f>IF($B131&lt;=Up_MinPara,1,0)</f>
        <v>1</v>
      </c>
      <c r="F131" s="38">
        <f>IF(AND($B131&gt;=8,$B131&lt;=9),1,0)</f>
        <v>0</v>
      </c>
      <c r="G131" s="37" t="e">
        <f>IF(ABS($B131-Up_MinNorm)&lt;=0.025,Up_YTop,NA())</f>
        <v>#N/A</v>
      </c>
      <c r="H131" s="37" t="e">
        <f>IF(ABS($B131-Up_MinPara)&lt;=0.025,Up_YTop,NA())</f>
        <v>#N/A</v>
      </c>
      <c r="I131" s="37" t="e">
        <f>IF(ABS($B131-Up_SecL)&lt;=0.025,C131,NA())</f>
        <v>#N/A</v>
      </c>
      <c r="J131" s="37" t="e">
        <f>IF(AND(Up_Par0&gt;=0,Up_Par0&lt;=10),IF(ABS($B131-Up_Par0)&lt;=0.025,D131,NA()),NA())</f>
        <v>#N/A</v>
      </c>
      <c r="K131" s="39">
        <f>IF(MOD(28,20)=0,TEXT($B131,"0"),"")</f>
        <v/>
      </c>
    </row>
    <row r="132" spans="2:11" ht="17" customHeight="1">
      <c r="B132" s="36">
        <v>1.45</v>
      </c>
      <c r="C132" s="37">
        <f>IF((Up_Basis="Per kg H2 (kWh)"),$B132+(Up_RlL+Up_ElzL)/Ship_CargoL,($B132*Ship_CargoL+Up_RlL+Up_ElzL)/1000)</f>
        <v>4190.0856</v>
      </c>
      <c r="D132" s="37">
        <f>IF((Up_Basis="Per kg H2 (kWh)"),(Up_HB+Up_RlN+Up_ElzN)/Up_H2N,(Up_HB+Up_RlN+Up_ElzN)/1000)</f>
        <v>4897.00357142857</v>
      </c>
      <c r="E132" s="38">
        <f>IF($B132&lt;=Up_MinPara,1,0)</f>
        <v>1</v>
      </c>
      <c r="F132" s="38">
        <f>IF(AND($B132&gt;=8,$B132&lt;=9),1,0)</f>
        <v>0</v>
      </c>
      <c r="G132" s="37" t="e">
        <f>IF(ABS($B132-Up_MinNorm)&lt;=0.025,Up_YTop,NA())</f>
        <v>#N/A</v>
      </c>
      <c r="H132" s="37" t="e">
        <f>IF(ABS($B132-Up_MinPara)&lt;=0.025,Up_YTop,NA())</f>
        <v>#N/A</v>
      </c>
      <c r="I132" s="37" t="e">
        <f>IF(ABS($B132-Up_SecL)&lt;=0.025,C132,NA())</f>
        <v>#N/A</v>
      </c>
      <c r="J132" s="37" t="e">
        <f>IF(AND(Up_Par0&gt;=0,Up_Par0&lt;=10),IF(ABS($B132-Up_Par0)&lt;=0.025,D132,NA()),NA())</f>
        <v>#N/A</v>
      </c>
      <c r="K132" s="39">
        <f>IF(MOD(29,20)=0,TEXT($B132,"0"),"")</f>
        <v/>
      </c>
    </row>
    <row r="133" spans="2:11" ht="17" customHeight="1">
      <c r="B133" s="36">
        <v>1.5</v>
      </c>
      <c r="C133" s="37">
        <f>IF((Up_Basis="Per kg H2 (kWh)"),$B133+(Up_RlL+Up_ElzL)/Ship_CargoL,($B133*Ship_CargoL+Up_RlL+Up_ElzL)/1000)</f>
        <v>4331.6856</v>
      </c>
      <c r="D133" s="37">
        <f>IF((Up_Basis="Per kg H2 (kWh)"),(Up_HB+Up_RlN+Up_ElzN)/Up_H2N,(Up_HB+Up_RlN+Up_ElzN)/1000)</f>
        <v>4897.00357142857</v>
      </c>
      <c r="E133" s="38">
        <f>IF($B133&lt;=Up_MinPara,1,0)</f>
        <v>1</v>
      </c>
      <c r="F133" s="38">
        <f>IF(AND($B133&gt;=8,$B133&lt;=9),1,0)</f>
        <v>0</v>
      </c>
      <c r="G133" s="37" t="e">
        <f>IF(ABS($B133-Up_MinNorm)&lt;=0.025,Up_YTop,NA())</f>
        <v>#N/A</v>
      </c>
      <c r="H133" s="37" t="e">
        <f>IF(ABS($B133-Up_MinPara)&lt;=0.025,Up_YTop,NA())</f>
        <v>#N/A</v>
      </c>
      <c r="I133" s="37" t="e">
        <f>IF(ABS($B133-Up_SecL)&lt;=0.025,C133,NA())</f>
        <v>#N/A</v>
      </c>
      <c r="J133" s="37" t="e">
        <f>IF(AND(Up_Par0&gt;=0,Up_Par0&lt;=10),IF(ABS($B133-Up_Par0)&lt;=0.025,D133,NA()),NA())</f>
        <v>#N/A</v>
      </c>
      <c r="K133" s="39">
        <f>IF(MOD(30,20)=0,TEXT($B133,"0"),"")</f>
        <v/>
      </c>
    </row>
    <row r="134" spans="2:11" ht="17" customHeight="1">
      <c r="B134" s="36">
        <v>1.55</v>
      </c>
      <c r="C134" s="37">
        <f>IF((Up_Basis="Per kg H2 (kWh)"),$B134+(Up_RlL+Up_ElzL)/Ship_CargoL,($B134*Ship_CargoL+Up_RlL+Up_ElzL)/1000)</f>
        <v>4473.2856</v>
      </c>
      <c r="D134" s="37">
        <f>IF((Up_Basis="Per kg H2 (kWh)"),(Up_HB+Up_RlN+Up_ElzN)/Up_H2N,(Up_HB+Up_RlN+Up_ElzN)/1000)</f>
        <v>4897.00357142857</v>
      </c>
      <c r="E134" s="38">
        <f>IF($B134&lt;=Up_MinPara,1,0)</f>
        <v>1</v>
      </c>
      <c r="F134" s="38">
        <f>IF(AND($B134&gt;=8,$B134&lt;=9),1,0)</f>
        <v>0</v>
      </c>
      <c r="G134" s="37" t="e">
        <f>IF(ABS($B134-Up_MinNorm)&lt;=0.025,Up_YTop,NA())</f>
        <v>#N/A</v>
      </c>
      <c r="H134" s="37" t="e">
        <f>IF(ABS($B134-Up_MinPara)&lt;=0.025,Up_YTop,NA())</f>
        <v>#N/A</v>
      </c>
      <c r="I134" s="37" t="e">
        <f>IF(ABS($B134-Up_SecL)&lt;=0.025,C134,NA())</f>
        <v>#N/A</v>
      </c>
      <c r="J134" s="37" t="e">
        <f>IF(AND(Up_Par0&gt;=0,Up_Par0&lt;=10),IF(ABS($B134-Up_Par0)&lt;=0.025,D134,NA()),NA())</f>
        <v>#N/A</v>
      </c>
      <c r="K134" s="39">
        <f>IF(MOD(31,20)=0,TEXT($B134,"0"),"")</f>
        <v/>
      </c>
    </row>
    <row r="135" spans="2:11" ht="17" customHeight="1">
      <c r="B135" s="36">
        <v>1.6</v>
      </c>
      <c r="C135" s="37">
        <f>IF((Up_Basis="Per kg H2 (kWh)"),$B135+(Up_RlL+Up_ElzL)/Ship_CargoL,($B135*Ship_CargoL+Up_RlL+Up_ElzL)/1000)</f>
        <v>4614.8856</v>
      </c>
      <c r="D135" s="37">
        <f>IF((Up_Basis="Per kg H2 (kWh)"),(Up_HB+Up_RlN+Up_ElzN)/Up_H2N,(Up_HB+Up_RlN+Up_ElzN)/1000)</f>
        <v>4897.00357142857</v>
      </c>
      <c r="E135" s="38">
        <f>IF($B135&lt;=Up_MinPara,1,0)</f>
        <v>1</v>
      </c>
      <c r="F135" s="38">
        <f>IF(AND($B135&gt;=8,$B135&lt;=9),1,0)</f>
        <v>0</v>
      </c>
      <c r="G135" s="37" t="e">
        <f>IF(ABS($B135-Up_MinNorm)&lt;=0.025,Up_YTop,NA())</f>
        <v>#N/A</v>
      </c>
      <c r="H135" s="37" t="e">
        <f>IF(ABS($B135-Up_MinPara)&lt;=0.025,Up_YTop,NA())</f>
        <v>#N/A</v>
      </c>
      <c r="I135" s="37" t="e">
        <f>IF(ABS($B135-Up_SecL)&lt;=0.025,C135,NA())</f>
        <v>#N/A</v>
      </c>
      <c r="J135" s="37" t="e">
        <f>IF(AND(Up_Par0&gt;=0,Up_Par0&lt;=10),IF(ABS($B135-Up_Par0)&lt;=0.025,D135,NA()),NA())</f>
        <v>#N/A</v>
      </c>
      <c r="K135" s="39">
        <f>IF(MOD(32,20)=0,TEXT($B135,"0"),"")</f>
        <v/>
      </c>
    </row>
    <row r="136" spans="2:11" ht="17" customHeight="1">
      <c r="B136" s="36">
        <v>1.65</v>
      </c>
      <c r="C136" s="37">
        <f>IF((Up_Basis="Per kg H2 (kWh)"),$B136+(Up_RlL+Up_ElzL)/Ship_CargoL,($B136*Ship_CargoL+Up_RlL+Up_ElzL)/1000)</f>
        <v>4756.4856</v>
      </c>
      <c r="D136" s="37">
        <f>IF((Up_Basis="Per kg H2 (kWh)"),(Up_HB+Up_RlN+Up_ElzN)/Up_H2N,(Up_HB+Up_RlN+Up_ElzN)/1000)</f>
        <v>4897.00357142857</v>
      </c>
      <c r="E136" s="38">
        <f>IF($B136&lt;=Up_MinPara,1,0)</f>
        <v>1</v>
      </c>
      <c r="F136" s="38">
        <f>IF(AND($B136&gt;=8,$B136&lt;=9),1,0)</f>
        <v>0</v>
      </c>
      <c r="G136" s="37" t="e">
        <f>IF(ABS($B136-Up_MinNorm)&lt;=0.025,Up_YTop,NA())</f>
        <v>#N/A</v>
      </c>
      <c r="H136" s="37" t="e">
        <f>IF(ABS($B136-Up_MinPara)&lt;=0.025,Up_YTop,NA())</f>
        <v>#N/A</v>
      </c>
      <c r="I136" s="37" t="e">
        <f>IF(ABS($B136-Up_SecL)&lt;=0.025,C136,NA())</f>
        <v>#N/A</v>
      </c>
      <c r="J136" s="37" t="e">
        <f>IF(AND(Up_Par0&gt;=0,Up_Par0&lt;=10),IF(ABS($B136-Up_Par0)&lt;=0.025,D136,NA()),NA())</f>
        <v>#N/A</v>
      </c>
      <c r="K136" s="39">
        <f>IF(MOD(33,20)=0,TEXT($B136,"0"),"")</f>
        <v/>
      </c>
    </row>
    <row r="137" spans="2:11" ht="17" customHeight="1">
      <c r="B137" s="36">
        <v>1.7</v>
      </c>
      <c r="C137" s="37">
        <f>IF((Up_Basis="Per kg H2 (kWh)"),$B137+(Up_RlL+Up_ElzL)/Ship_CargoL,($B137*Ship_CargoL+Up_RlL+Up_ElzL)/1000)</f>
        <v>4898.0856</v>
      </c>
      <c r="D137" s="37">
        <f>IF((Up_Basis="Per kg H2 (kWh)"),(Up_HB+Up_RlN+Up_ElzN)/Up_H2N,(Up_HB+Up_RlN+Up_ElzN)/1000)</f>
        <v>4897.00357142857</v>
      </c>
      <c r="E137" s="38">
        <f>IF($B137&lt;=Up_MinPara,1,0)</f>
        <v>1</v>
      </c>
      <c r="F137" s="38">
        <f>IF(AND($B137&gt;=8,$B137&lt;=9),1,0)</f>
        <v>0</v>
      </c>
      <c r="G137" s="37" t="e">
        <f>IF(ABS($B137-Up_MinNorm)&lt;=0.025,Up_YTop,NA())</f>
        <v>#N/A</v>
      </c>
      <c r="H137" s="37" t="e">
        <f>IF(ABS($B137-Up_MinPara)&lt;=0.025,Up_YTop,NA())</f>
        <v>#N/A</v>
      </c>
      <c r="I137" s="37" t="e">
        <f>IF(ABS($B137-Up_SecL)&lt;=0.025,C137,NA())</f>
        <v>#N/A</v>
      </c>
      <c r="J137" s="37">
        <f>IF(AND(Up_Par0&gt;=0,Up_Par0&lt;=10),IF(ABS($B137-Up_Par0)&lt;=0.025,D137,NA()),NA())</f>
        <v>4897.00357142857</v>
      </c>
      <c r="K137" s="39">
        <f>IF(MOD(34,20)=0,TEXT($B137,"0"),"")</f>
        <v/>
      </c>
    </row>
    <row r="138" spans="2:11" ht="17" customHeight="1">
      <c r="B138" s="36">
        <v>1.75</v>
      </c>
      <c r="C138" s="37">
        <f>IF((Up_Basis="Per kg H2 (kWh)"),$B138+(Up_RlL+Up_ElzL)/Ship_CargoL,($B138*Ship_CargoL+Up_RlL+Up_ElzL)/1000)</f>
        <v>5039.6856</v>
      </c>
      <c r="D138" s="37">
        <f>IF((Up_Basis="Per kg H2 (kWh)"),(Up_HB+Up_RlN+Up_ElzN)/Up_H2N,(Up_HB+Up_RlN+Up_ElzN)/1000)</f>
        <v>4897.00357142857</v>
      </c>
      <c r="E138" s="38">
        <f>IF($B138&lt;=Up_MinPara,1,0)</f>
        <v>1</v>
      </c>
      <c r="F138" s="38">
        <f>IF(AND($B138&gt;=8,$B138&lt;=9),1,0)</f>
        <v>0</v>
      </c>
      <c r="G138" s="37" t="e">
        <f>IF(ABS($B138-Up_MinNorm)&lt;=0.025,Up_YTop,NA())</f>
        <v>#N/A</v>
      </c>
      <c r="H138" s="37" t="e">
        <f>IF(ABS($B138-Up_MinPara)&lt;=0.025,Up_YTop,NA())</f>
        <v>#N/A</v>
      </c>
      <c r="I138" s="37" t="e">
        <f>IF(ABS($B138-Up_SecL)&lt;=0.025,C138,NA())</f>
        <v>#N/A</v>
      </c>
      <c r="J138" s="37" t="e">
        <f>IF(AND(Up_Par0&gt;=0,Up_Par0&lt;=10),IF(ABS($B138-Up_Par0)&lt;=0.025,D138,NA()),NA())</f>
        <v>#N/A</v>
      </c>
      <c r="K138" s="39">
        <f>IF(MOD(35,20)=0,TEXT($B138,"0"),"")</f>
        <v/>
      </c>
    </row>
    <row r="139" spans="2:11" ht="17" customHeight="1">
      <c r="B139" s="36">
        <v>1.8</v>
      </c>
      <c r="C139" s="37">
        <f>IF((Up_Basis="Per kg H2 (kWh)"),$B139+(Up_RlL+Up_ElzL)/Ship_CargoL,($B139*Ship_CargoL+Up_RlL+Up_ElzL)/1000)</f>
        <v>5181.2856</v>
      </c>
      <c r="D139" s="37">
        <f>IF((Up_Basis="Per kg H2 (kWh)"),(Up_HB+Up_RlN+Up_ElzN)/Up_H2N,(Up_HB+Up_RlN+Up_ElzN)/1000)</f>
        <v>4897.00357142857</v>
      </c>
      <c r="E139" s="38">
        <f>IF($B139&lt;=Up_MinPara,1,0)</f>
        <v>1</v>
      </c>
      <c r="F139" s="38">
        <f>IF(AND($B139&gt;=8,$B139&lt;=9),1,0)</f>
        <v>0</v>
      </c>
      <c r="G139" s="37" t="e">
        <f>IF(ABS($B139-Up_MinNorm)&lt;=0.025,Up_YTop,NA())</f>
        <v>#N/A</v>
      </c>
      <c r="H139" s="37" t="e">
        <f>IF(ABS($B139-Up_MinPara)&lt;=0.025,Up_YTop,NA())</f>
        <v>#N/A</v>
      </c>
      <c r="I139" s="37" t="e">
        <f>IF(ABS($B139-Up_SecL)&lt;=0.025,C139,NA())</f>
        <v>#N/A</v>
      </c>
      <c r="J139" s="37" t="e">
        <f>IF(AND(Up_Par0&gt;=0,Up_Par0&lt;=10),IF(ABS($B139-Up_Par0)&lt;=0.025,D139,NA()),NA())</f>
        <v>#N/A</v>
      </c>
      <c r="K139" s="39">
        <f>IF(MOD(36,20)=0,TEXT($B139,"0"),"")</f>
        <v/>
      </c>
    </row>
    <row r="140" spans="2:11" ht="17" customHeight="1">
      <c r="B140" s="36">
        <v>1.85</v>
      </c>
      <c r="C140" s="37">
        <f>IF((Up_Basis="Per kg H2 (kWh)"),$B140+(Up_RlL+Up_ElzL)/Ship_CargoL,($B140*Ship_CargoL+Up_RlL+Up_ElzL)/1000)</f>
        <v>5322.8856</v>
      </c>
      <c r="D140" s="37">
        <f>IF((Up_Basis="Per kg H2 (kWh)"),(Up_HB+Up_RlN+Up_ElzN)/Up_H2N,(Up_HB+Up_RlN+Up_ElzN)/1000)</f>
        <v>4897.00357142857</v>
      </c>
      <c r="E140" s="38">
        <f>IF($B140&lt;=Up_MinPara,1,0)</f>
        <v>1</v>
      </c>
      <c r="F140" s="38">
        <f>IF(AND($B140&gt;=8,$B140&lt;=9),1,0)</f>
        <v>0</v>
      </c>
      <c r="G140" s="37" t="e">
        <f>IF(ABS($B140-Up_MinNorm)&lt;=0.025,Up_YTop,NA())</f>
        <v>#N/A</v>
      </c>
      <c r="H140" s="37" t="e">
        <f>IF(ABS($B140-Up_MinPara)&lt;=0.025,Up_YTop,NA())</f>
        <v>#N/A</v>
      </c>
      <c r="I140" s="37" t="e">
        <f>IF(ABS($B140-Up_SecL)&lt;=0.025,C140,NA())</f>
        <v>#N/A</v>
      </c>
      <c r="J140" s="37" t="e">
        <f>IF(AND(Up_Par0&gt;=0,Up_Par0&lt;=10),IF(ABS($B140-Up_Par0)&lt;=0.025,D140,NA()),NA())</f>
        <v>#N/A</v>
      </c>
      <c r="K140" s="39">
        <f>IF(MOD(37,20)=0,TEXT($B140,"0"),"")</f>
        <v/>
      </c>
    </row>
    <row r="141" spans="2:11" ht="17" customHeight="1">
      <c r="B141" s="36">
        <v>1.9</v>
      </c>
      <c r="C141" s="37">
        <f>IF((Up_Basis="Per kg H2 (kWh)"),$B141+(Up_RlL+Up_ElzL)/Ship_CargoL,($B141*Ship_CargoL+Up_RlL+Up_ElzL)/1000)</f>
        <v>5464.4856</v>
      </c>
      <c r="D141" s="37">
        <f>IF((Up_Basis="Per kg H2 (kWh)"),(Up_HB+Up_RlN+Up_ElzN)/Up_H2N,(Up_HB+Up_RlN+Up_ElzN)/1000)</f>
        <v>4897.00357142857</v>
      </c>
      <c r="E141" s="38">
        <f>IF($B141&lt;=Up_MinPara,1,0)</f>
        <v>1</v>
      </c>
      <c r="F141" s="38">
        <f>IF(AND($B141&gt;=8,$B141&lt;=9),1,0)</f>
        <v>0</v>
      </c>
      <c r="G141" s="37" t="e">
        <f>IF(ABS($B141-Up_MinNorm)&lt;=0.025,Up_YTop,NA())</f>
        <v>#N/A</v>
      </c>
      <c r="H141" s="37" t="e">
        <f>IF(ABS($B141-Up_MinPara)&lt;=0.025,Up_YTop,NA())</f>
        <v>#N/A</v>
      </c>
      <c r="I141" s="37" t="e">
        <f>IF(ABS($B141-Up_SecL)&lt;=0.025,C141,NA())</f>
        <v>#N/A</v>
      </c>
      <c r="J141" s="37" t="e">
        <f>IF(AND(Up_Par0&gt;=0,Up_Par0&lt;=10),IF(ABS($B141-Up_Par0)&lt;=0.025,D141,NA()),NA())</f>
        <v>#N/A</v>
      </c>
      <c r="K141" s="39">
        <f>IF(MOD(38,20)=0,TEXT($B141,"0"),"")</f>
        <v/>
      </c>
    </row>
    <row r="142" spans="2:11" ht="17" customHeight="1">
      <c r="B142" s="36">
        <v>1.95</v>
      </c>
      <c r="C142" s="37">
        <f>IF((Up_Basis="Per kg H2 (kWh)"),$B142+(Up_RlL+Up_ElzL)/Ship_CargoL,($B142*Ship_CargoL+Up_RlL+Up_ElzL)/1000)</f>
        <v>5606.0856</v>
      </c>
      <c r="D142" s="37">
        <f>IF((Up_Basis="Per kg H2 (kWh)"),(Up_HB+Up_RlN+Up_ElzN)/Up_H2N,(Up_HB+Up_RlN+Up_ElzN)/1000)</f>
        <v>4897.00357142857</v>
      </c>
      <c r="E142" s="38">
        <f>IF($B142&lt;=Up_MinPara,1,0)</f>
        <v>1</v>
      </c>
      <c r="F142" s="38">
        <f>IF(AND($B142&gt;=8,$B142&lt;=9),1,0)</f>
        <v>0</v>
      </c>
      <c r="G142" s="37" t="e">
        <f>IF(ABS($B142-Up_MinNorm)&lt;=0.025,Up_YTop,NA())</f>
        <v>#N/A</v>
      </c>
      <c r="H142" s="37" t="e">
        <f>IF(ABS($B142-Up_MinPara)&lt;=0.025,Up_YTop,NA())</f>
        <v>#N/A</v>
      </c>
      <c r="I142" s="37" t="e">
        <f>IF(ABS($B142-Up_SecL)&lt;=0.025,C142,NA())</f>
        <v>#N/A</v>
      </c>
      <c r="J142" s="37" t="e">
        <f>IF(AND(Up_Par0&gt;=0,Up_Par0&lt;=10),IF(ABS($B142-Up_Par0)&lt;=0.025,D142,NA()),NA())</f>
        <v>#N/A</v>
      </c>
      <c r="K142" s="39">
        <f>IF(MOD(39,20)=0,TEXT($B142,"0"),"")</f>
        <v/>
      </c>
    </row>
    <row r="143" spans="2:11" ht="17" customHeight="1">
      <c r="B143" s="36">
        <v>2</v>
      </c>
      <c r="C143" s="37">
        <f>IF((Up_Basis="Per kg H2 (kWh)"),$B143+(Up_RlL+Up_ElzL)/Ship_CargoL,($B143*Ship_CargoL+Up_RlL+Up_ElzL)/1000)</f>
        <v>5747.6856</v>
      </c>
      <c r="D143" s="37">
        <f>IF((Up_Basis="Per kg H2 (kWh)"),(Up_HB+Up_RlN+Up_ElzN)/Up_H2N,(Up_HB+Up_RlN+Up_ElzN)/1000)</f>
        <v>4897.00357142857</v>
      </c>
      <c r="E143" s="38">
        <f>IF($B143&lt;=Up_MinPara,1,0)</f>
        <v>1</v>
      </c>
      <c r="F143" s="38">
        <f>IF(AND($B143&gt;=8,$B143&lt;=9),1,0)</f>
        <v>0</v>
      </c>
      <c r="G143" s="37" t="e">
        <f>IF(ABS($B143-Up_MinNorm)&lt;=0.025,Up_YTop,NA())</f>
        <v>#N/A</v>
      </c>
      <c r="H143" s="37" t="e">
        <f>IF(ABS($B143-Up_MinPara)&lt;=0.025,Up_YTop,NA())</f>
        <v>#N/A</v>
      </c>
      <c r="I143" s="37" t="e">
        <f>IF(ABS($B143-Up_SecL)&lt;=0.025,C143,NA())</f>
        <v>#N/A</v>
      </c>
      <c r="J143" s="37" t="e">
        <f>IF(AND(Up_Par0&gt;=0,Up_Par0&lt;=10),IF(ABS($B143-Up_Par0)&lt;=0.025,D143,NA()),NA())</f>
        <v>#N/A</v>
      </c>
      <c r="K143" s="39" t="str">
        <f>IF(MOD(40,20)=0,TEXT($B143,"0"),"")</f>
        <v>2</v>
      </c>
    </row>
    <row r="144" spans="2:11" ht="17" customHeight="1">
      <c r="B144" s="36">
        <v>2.05</v>
      </c>
      <c r="C144" s="37">
        <f>IF((Up_Basis="Per kg H2 (kWh)"),$B144+(Up_RlL+Up_ElzL)/Ship_CargoL,($B144*Ship_CargoL+Up_RlL+Up_ElzL)/1000)</f>
        <v>5889.2856</v>
      </c>
      <c r="D144" s="37">
        <f>IF((Up_Basis="Per kg H2 (kWh)"),(Up_HB+Up_RlN+Up_ElzN)/Up_H2N,(Up_HB+Up_RlN+Up_ElzN)/1000)</f>
        <v>4897.00357142857</v>
      </c>
      <c r="E144" s="38">
        <f>IF($B144&lt;=Up_MinPara,1,0)</f>
        <v>1</v>
      </c>
      <c r="F144" s="38">
        <f>IF(AND($B144&gt;=8,$B144&lt;=9),1,0)</f>
        <v>0</v>
      </c>
      <c r="G144" s="37" t="e">
        <f>IF(ABS($B144-Up_MinNorm)&lt;=0.025,Up_YTop,NA())</f>
        <v>#N/A</v>
      </c>
      <c r="H144" s="37" t="e">
        <f>IF(ABS($B144-Up_MinPara)&lt;=0.025,Up_YTop,NA())</f>
        <v>#N/A</v>
      </c>
      <c r="I144" s="37" t="e">
        <f>IF(ABS($B144-Up_SecL)&lt;=0.025,C144,NA())</f>
        <v>#N/A</v>
      </c>
      <c r="J144" s="37" t="e">
        <f>IF(AND(Up_Par0&gt;=0,Up_Par0&lt;=10),IF(ABS($B144-Up_Par0)&lt;=0.025,D144,NA()),NA())</f>
        <v>#N/A</v>
      </c>
      <c r="K144" s="39">
        <f>IF(MOD(41,20)=0,TEXT($B144,"0"),"")</f>
        <v/>
      </c>
    </row>
    <row r="145" spans="2:11" ht="17" customHeight="1">
      <c r="B145" s="36">
        <v>2.1</v>
      </c>
      <c r="C145" s="37">
        <f>IF((Up_Basis="Per kg H2 (kWh)"),$B145+(Up_RlL+Up_ElzL)/Ship_CargoL,($B145*Ship_CargoL+Up_RlL+Up_ElzL)/1000)</f>
        <v>6030.8856</v>
      </c>
      <c r="D145" s="37">
        <f>IF((Up_Basis="Per kg H2 (kWh)"),(Up_HB+Up_RlN+Up_ElzN)/Up_H2N,(Up_HB+Up_RlN+Up_ElzN)/1000)</f>
        <v>4897.00357142857</v>
      </c>
      <c r="E145" s="38">
        <f>IF($B145&lt;=Up_MinPara,1,0)</f>
        <v>1</v>
      </c>
      <c r="F145" s="38">
        <f>IF(AND($B145&gt;=8,$B145&lt;=9),1,0)</f>
        <v>0</v>
      </c>
      <c r="G145" s="37" t="e">
        <f>IF(ABS($B145-Up_MinNorm)&lt;=0.025,Up_YTop,NA())</f>
        <v>#N/A</v>
      </c>
      <c r="H145" s="37" t="e">
        <f>IF(ABS($B145-Up_MinPara)&lt;=0.025,Up_YTop,NA())</f>
        <v>#N/A</v>
      </c>
      <c r="I145" s="37" t="e">
        <f>IF(ABS($B145-Up_SecL)&lt;=0.025,C145,NA())</f>
        <v>#N/A</v>
      </c>
      <c r="J145" s="37" t="e">
        <f>IF(AND(Up_Par0&gt;=0,Up_Par0&lt;=10),IF(ABS($B145-Up_Par0)&lt;=0.025,D145,NA()),NA())</f>
        <v>#N/A</v>
      </c>
      <c r="K145" s="39">
        <f>IF(MOD(42,20)=0,TEXT($B145,"0"),"")</f>
        <v/>
      </c>
    </row>
    <row r="146" spans="2:11" ht="17" customHeight="1">
      <c r="B146" s="36">
        <v>2.15</v>
      </c>
      <c r="C146" s="37">
        <f>IF((Up_Basis="Per kg H2 (kWh)"),$B146+(Up_RlL+Up_ElzL)/Ship_CargoL,($B146*Ship_CargoL+Up_RlL+Up_ElzL)/1000)</f>
        <v>6172.4856</v>
      </c>
      <c r="D146" s="37">
        <f>IF((Up_Basis="Per kg H2 (kWh)"),(Up_HB+Up_RlN+Up_ElzN)/Up_H2N,(Up_HB+Up_RlN+Up_ElzN)/1000)</f>
        <v>4897.00357142857</v>
      </c>
      <c r="E146" s="38">
        <f>IF($B146&lt;=Up_MinPara,1,0)</f>
        <v>1</v>
      </c>
      <c r="F146" s="38">
        <f>IF(AND($B146&gt;=8,$B146&lt;=9),1,0)</f>
        <v>0</v>
      </c>
      <c r="G146" s="37" t="e">
        <f>IF(ABS($B146-Up_MinNorm)&lt;=0.025,Up_YTop,NA())</f>
        <v>#N/A</v>
      </c>
      <c r="H146" s="37" t="e">
        <f>IF(ABS($B146-Up_MinPara)&lt;=0.025,Up_YTop,NA())</f>
        <v>#N/A</v>
      </c>
      <c r="I146" s="37" t="e">
        <f>IF(ABS($B146-Up_SecL)&lt;=0.025,C146,NA())</f>
        <v>#N/A</v>
      </c>
      <c r="J146" s="37" t="e">
        <f>IF(AND(Up_Par0&gt;=0,Up_Par0&lt;=10),IF(ABS($B146-Up_Par0)&lt;=0.025,D146,NA()),NA())</f>
        <v>#N/A</v>
      </c>
      <c r="K146" s="39">
        <f>IF(MOD(43,20)=0,TEXT($B146,"0"),"")</f>
        <v/>
      </c>
    </row>
    <row r="147" spans="2:11" ht="17" customHeight="1">
      <c r="B147" s="36">
        <v>2.2</v>
      </c>
      <c r="C147" s="37">
        <f>IF((Up_Basis="Per kg H2 (kWh)"),$B147+(Up_RlL+Up_ElzL)/Ship_CargoL,($B147*Ship_CargoL+Up_RlL+Up_ElzL)/1000)</f>
        <v>6314.0856</v>
      </c>
      <c r="D147" s="37">
        <f>IF((Up_Basis="Per kg H2 (kWh)"),(Up_HB+Up_RlN+Up_ElzN)/Up_H2N,(Up_HB+Up_RlN+Up_ElzN)/1000)</f>
        <v>4897.00357142857</v>
      </c>
      <c r="E147" s="38">
        <f>IF($B147&lt;=Up_MinPara,1,0)</f>
        <v>1</v>
      </c>
      <c r="F147" s="38">
        <f>IF(AND($B147&gt;=8,$B147&lt;=9),1,0)</f>
        <v>0</v>
      </c>
      <c r="G147" s="37" t="e">
        <f>IF(ABS($B147-Up_MinNorm)&lt;=0.025,Up_YTop,NA())</f>
        <v>#N/A</v>
      </c>
      <c r="H147" s="37" t="e">
        <f>IF(ABS($B147-Up_MinPara)&lt;=0.025,Up_YTop,NA())</f>
        <v>#N/A</v>
      </c>
      <c r="I147" s="37" t="e">
        <f>IF(ABS($B147-Up_SecL)&lt;=0.025,C147,NA())</f>
        <v>#N/A</v>
      </c>
      <c r="J147" s="37" t="e">
        <f>IF(AND(Up_Par0&gt;=0,Up_Par0&lt;=10),IF(ABS($B147-Up_Par0)&lt;=0.025,D147,NA()),NA())</f>
        <v>#N/A</v>
      </c>
      <c r="K147" s="39">
        <f>IF(MOD(44,20)=0,TEXT($B147,"0"),"")</f>
        <v/>
      </c>
    </row>
    <row r="148" spans="2:11" ht="17" customHeight="1">
      <c r="B148" s="36">
        <v>2.25</v>
      </c>
      <c r="C148" s="37">
        <f>IF((Up_Basis="Per kg H2 (kWh)"),$B148+(Up_RlL+Up_ElzL)/Ship_CargoL,($B148*Ship_CargoL+Up_RlL+Up_ElzL)/1000)</f>
        <v>6455.6856</v>
      </c>
      <c r="D148" s="37">
        <f>IF((Up_Basis="Per kg H2 (kWh)"),(Up_HB+Up_RlN+Up_ElzN)/Up_H2N,(Up_HB+Up_RlN+Up_ElzN)/1000)</f>
        <v>4897.00357142857</v>
      </c>
      <c r="E148" s="38">
        <f>IF($B148&lt;=Up_MinPara,1,0)</f>
        <v>1</v>
      </c>
      <c r="F148" s="38">
        <f>IF(AND($B148&gt;=8,$B148&lt;=9),1,0)</f>
        <v>0</v>
      </c>
      <c r="G148" s="37" t="e">
        <f>IF(ABS($B148-Up_MinNorm)&lt;=0.025,Up_YTop,NA())</f>
        <v>#N/A</v>
      </c>
      <c r="H148" s="37" t="e">
        <f>IF(ABS($B148-Up_MinPara)&lt;=0.025,Up_YTop,NA())</f>
        <v>#N/A</v>
      </c>
      <c r="I148" s="37" t="e">
        <f>IF(ABS($B148-Up_SecL)&lt;=0.025,C148,NA())</f>
        <v>#N/A</v>
      </c>
      <c r="J148" s="37" t="e">
        <f>IF(AND(Up_Par0&gt;=0,Up_Par0&lt;=10),IF(ABS($B148-Up_Par0)&lt;=0.025,D148,NA()),NA())</f>
        <v>#N/A</v>
      </c>
      <c r="K148" s="39">
        <f>IF(MOD(45,20)=0,TEXT($B148,"0"),"")</f>
        <v/>
      </c>
    </row>
    <row r="149" spans="2:11" ht="17" customHeight="1">
      <c r="B149" s="36">
        <v>2.3</v>
      </c>
      <c r="C149" s="37">
        <f>IF((Up_Basis="Per kg H2 (kWh)"),$B149+(Up_RlL+Up_ElzL)/Ship_CargoL,($B149*Ship_CargoL+Up_RlL+Up_ElzL)/1000)</f>
        <v>6597.2856</v>
      </c>
      <c r="D149" s="37">
        <f>IF((Up_Basis="Per kg H2 (kWh)"),(Up_HB+Up_RlN+Up_ElzN)/Up_H2N,(Up_HB+Up_RlN+Up_ElzN)/1000)</f>
        <v>4897.00357142857</v>
      </c>
      <c r="E149" s="38">
        <f>IF($B149&lt;=Up_MinPara,1,0)</f>
        <v>1</v>
      </c>
      <c r="F149" s="38">
        <f>IF(AND($B149&gt;=8,$B149&lt;=9),1,0)</f>
        <v>0</v>
      </c>
      <c r="G149" s="37" t="e">
        <f>IF(ABS($B149-Up_MinNorm)&lt;=0.025,Up_YTop,NA())</f>
        <v>#N/A</v>
      </c>
      <c r="H149" s="37" t="e">
        <f>IF(ABS($B149-Up_MinPara)&lt;=0.025,Up_YTop,NA())</f>
        <v>#N/A</v>
      </c>
      <c r="I149" s="37" t="e">
        <f>IF(ABS($B149-Up_SecL)&lt;=0.025,C149,NA())</f>
        <v>#N/A</v>
      </c>
      <c r="J149" s="37" t="e">
        <f>IF(AND(Up_Par0&gt;=0,Up_Par0&lt;=10),IF(ABS($B149-Up_Par0)&lt;=0.025,D149,NA()),NA())</f>
        <v>#N/A</v>
      </c>
      <c r="K149" s="39">
        <f>IF(MOD(46,20)=0,TEXT($B149,"0"),"")</f>
        <v/>
      </c>
    </row>
    <row r="150" spans="2:11" ht="17" customHeight="1">
      <c r="B150" s="36">
        <v>2.35</v>
      </c>
      <c r="C150" s="37">
        <f>IF((Up_Basis="Per kg H2 (kWh)"),$B150+(Up_RlL+Up_ElzL)/Ship_CargoL,($B150*Ship_CargoL+Up_RlL+Up_ElzL)/1000)</f>
        <v>6738.8856</v>
      </c>
      <c r="D150" s="37">
        <f>IF((Up_Basis="Per kg H2 (kWh)"),(Up_HB+Up_RlN+Up_ElzN)/Up_H2N,(Up_HB+Up_RlN+Up_ElzN)/1000)</f>
        <v>4897.00357142857</v>
      </c>
      <c r="E150" s="38">
        <f>IF($B150&lt;=Up_MinPara,1,0)</f>
        <v>1</v>
      </c>
      <c r="F150" s="38">
        <f>IF(AND($B150&gt;=8,$B150&lt;=9),1,0)</f>
        <v>0</v>
      </c>
      <c r="G150" s="37" t="e">
        <f>IF(ABS($B150-Up_MinNorm)&lt;=0.025,Up_YTop,NA())</f>
        <v>#N/A</v>
      </c>
      <c r="H150" s="37" t="e">
        <f>IF(ABS($B150-Up_MinPara)&lt;=0.025,Up_YTop,NA())</f>
        <v>#N/A</v>
      </c>
      <c r="I150" s="37" t="e">
        <f>IF(ABS($B150-Up_SecL)&lt;=0.025,C150,NA())</f>
        <v>#N/A</v>
      </c>
      <c r="J150" s="37" t="e">
        <f>IF(AND(Up_Par0&gt;=0,Up_Par0&lt;=10),IF(ABS($B150-Up_Par0)&lt;=0.025,D150,NA()),NA())</f>
        <v>#N/A</v>
      </c>
      <c r="K150" s="39">
        <f>IF(MOD(47,20)=0,TEXT($B150,"0"),"")</f>
        <v/>
      </c>
    </row>
    <row r="151" spans="2:11" ht="17" customHeight="1">
      <c r="B151" s="36">
        <v>2.4</v>
      </c>
      <c r="C151" s="37">
        <f>IF((Up_Basis="Per kg H2 (kWh)"),$B151+(Up_RlL+Up_ElzL)/Ship_CargoL,($B151*Ship_CargoL+Up_RlL+Up_ElzL)/1000)</f>
        <v>6880.4856</v>
      </c>
      <c r="D151" s="37">
        <f>IF((Up_Basis="Per kg H2 (kWh)"),(Up_HB+Up_RlN+Up_ElzN)/Up_H2N,(Up_HB+Up_RlN+Up_ElzN)/1000)</f>
        <v>4897.00357142857</v>
      </c>
      <c r="E151" s="38">
        <f>IF($B151&lt;=Up_MinPara,1,0)</f>
        <v>1</v>
      </c>
      <c r="F151" s="38">
        <f>IF(AND($B151&gt;=8,$B151&lt;=9),1,0)</f>
        <v>0</v>
      </c>
      <c r="G151" s="37" t="e">
        <f>IF(ABS($B151-Up_MinNorm)&lt;=0.025,Up_YTop,NA())</f>
        <v>#N/A</v>
      </c>
      <c r="H151" s="37" t="e">
        <f>IF(ABS($B151-Up_MinPara)&lt;=0.025,Up_YTop,NA())</f>
        <v>#N/A</v>
      </c>
      <c r="I151" s="37" t="e">
        <f>IF(ABS($B151-Up_SecL)&lt;=0.025,C151,NA())</f>
        <v>#N/A</v>
      </c>
      <c r="J151" s="37" t="e">
        <f>IF(AND(Up_Par0&gt;=0,Up_Par0&lt;=10),IF(ABS($B151-Up_Par0)&lt;=0.025,D151,NA()),NA())</f>
        <v>#N/A</v>
      </c>
      <c r="K151" s="39">
        <f>IF(MOD(48,20)=0,TEXT($B151,"0"),"")</f>
        <v/>
      </c>
    </row>
    <row r="152" spans="2:11" ht="17" customHeight="1">
      <c r="B152" s="36">
        <v>2.45</v>
      </c>
      <c r="C152" s="37">
        <f>IF((Up_Basis="Per kg H2 (kWh)"),$B152+(Up_RlL+Up_ElzL)/Ship_CargoL,($B152*Ship_CargoL+Up_RlL+Up_ElzL)/1000)</f>
        <v>7022.0856</v>
      </c>
      <c r="D152" s="37">
        <f>IF((Up_Basis="Per kg H2 (kWh)"),(Up_HB+Up_RlN+Up_ElzN)/Up_H2N,(Up_HB+Up_RlN+Up_ElzN)/1000)</f>
        <v>4897.00357142857</v>
      </c>
      <c r="E152" s="38">
        <f>IF($B152&lt;=Up_MinPara,1,0)</f>
        <v>1</v>
      </c>
      <c r="F152" s="38">
        <f>IF(AND($B152&gt;=8,$B152&lt;=9),1,0)</f>
        <v>0</v>
      </c>
      <c r="G152" s="37" t="e">
        <f>IF(ABS($B152-Up_MinNorm)&lt;=0.025,Up_YTop,NA())</f>
        <v>#N/A</v>
      </c>
      <c r="H152" s="37" t="e">
        <f>IF(ABS($B152-Up_MinPara)&lt;=0.025,Up_YTop,NA())</f>
        <v>#N/A</v>
      </c>
      <c r="I152" s="37" t="e">
        <f>IF(ABS($B152-Up_SecL)&lt;=0.025,C152,NA())</f>
        <v>#N/A</v>
      </c>
      <c r="J152" s="37" t="e">
        <f>IF(AND(Up_Par0&gt;=0,Up_Par0&lt;=10),IF(ABS($B152-Up_Par0)&lt;=0.025,D152,NA()),NA())</f>
        <v>#N/A</v>
      </c>
      <c r="K152" s="39">
        <f>IF(MOD(49,20)=0,TEXT($B152,"0"),"")</f>
        <v/>
      </c>
    </row>
    <row r="153" spans="2:11" ht="17" customHeight="1">
      <c r="B153" s="36">
        <v>2.5</v>
      </c>
      <c r="C153" s="37">
        <f>IF((Up_Basis="Per kg H2 (kWh)"),$B153+(Up_RlL+Up_ElzL)/Ship_CargoL,($B153*Ship_CargoL+Up_RlL+Up_ElzL)/1000)</f>
        <v>7163.6856</v>
      </c>
      <c r="D153" s="37">
        <f>IF((Up_Basis="Per kg H2 (kWh)"),(Up_HB+Up_RlN+Up_ElzN)/Up_H2N,(Up_HB+Up_RlN+Up_ElzN)/1000)</f>
        <v>4897.00357142857</v>
      </c>
      <c r="E153" s="38">
        <f>IF($B153&lt;=Up_MinPara,1,0)</f>
        <v>1</v>
      </c>
      <c r="F153" s="38">
        <f>IF(AND($B153&gt;=8,$B153&lt;=9),1,0)</f>
        <v>0</v>
      </c>
      <c r="G153" s="37" t="e">
        <f>IF(ABS($B153-Up_MinNorm)&lt;=0.025,Up_YTop,NA())</f>
        <v>#N/A</v>
      </c>
      <c r="H153" s="37" t="e">
        <f>IF(ABS($B153-Up_MinPara)&lt;=0.025,Up_YTop,NA())</f>
        <v>#N/A</v>
      </c>
      <c r="I153" s="37" t="e">
        <f>IF(ABS($B153-Up_SecL)&lt;=0.025,C153,NA())</f>
        <v>#N/A</v>
      </c>
      <c r="J153" s="37" t="e">
        <f>IF(AND(Up_Par0&gt;=0,Up_Par0&lt;=10),IF(ABS($B153-Up_Par0)&lt;=0.025,D153,NA()),NA())</f>
        <v>#N/A</v>
      </c>
      <c r="K153" s="39">
        <f>IF(MOD(50,20)=0,TEXT($B153,"0"),"")</f>
        <v/>
      </c>
    </row>
    <row r="154" spans="2:11" ht="17" customHeight="1">
      <c r="B154" s="36">
        <v>2.55</v>
      </c>
      <c r="C154" s="37">
        <f>IF((Up_Basis="Per kg H2 (kWh)"),$B154+(Up_RlL+Up_ElzL)/Ship_CargoL,($B154*Ship_CargoL+Up_RlL+Up_ElzL)/1000)</f>
        <v>7305.2856</v>
      </c>
      <c r="D154" s="37">
        <f>IF((Up_Basis="Per kg H2 (kWh)"),(Up_HB+Up_RlN+Up_ElzN)/Up_H2N,(Up_HB+Up_RlN+Up_ElzN)/1000)</f>
        <v>4897.00357142857</v>
      </c>
      <c r="E154" s="38">
        <f>IF($B154&lt;=Up_MinPara,1,0)</f>
        <v>1</v>
      </c>
      <c r="F154" s="38">
        <f>IF(AND($B154&gt;=8,$B154&lt;=9),1,0)</f>
        <v>0</v>
      </c>
      <c r="G154" s="37" t="e">
        <f>IF(ABS($B154-Up_MinNorm)&lt;=0.025,Up_YTop,NA())</f>
        <v>#N/A</v>
      </c>
      <c r="H154" s="37" t="e">
        <f>IF(ABS($B154-Up_MinPara)&lt;=0.025,Up_YTop,NA())</f>
        <v>#N/A</v>
      </c>
      <c r="I154" s="37" t="e">
        <f>IF(ABS($B154-Up_SecL)&lt;=0.025,C154,NA())</f>
        <v>#N/A</v>
      </c>
      <c r="J154" s="37" t="e">
        <f>IF(AND(Up_Par0&gt;=0,Up_Par0&lt;=10),IF(ABS($B154-Up_Par0)&lt;=0.025,D154,NA()),NA())</f>
        <v>#N/A</v>
      </c>
      <c r="K154" s="39">
        <f>IF(MOD(51,20)=0,TEXT($B154,"0"),"")</f>
        <v/>
      </c>
    </row>
    <row r="155" spans="2:11" ht="17" customHeight="1">
      <c r="B155" s="36">
        <v>2.6</v>
      </c>
      <c r="C155" s="37">
        <f>IF((Up_Basis="Per kg H2 (kWh)"),$B155+(Up_RlL+Up_ElzL)/Ship_CargoL,($B155*Ship_CargoL+Up_RlL+Up_ElzL)/1000)</f>
        <v>7446.8856</v>
      </c>
      <c r="D155" s="37">
        <f>IF((Up_Basis="Per kg H2 (kWh)"),(Up_HB+Up_RlN+Up_ElzN)/Up_H2N,(Up_HB+Up_RlN+Up_ElzN)/1000)</f>
        <v>4897.00357142857</v>
      </c>
      <c r="E155" s="38">
        <f>IF($B155&lt;=Up_MinPara,1,0)</f>
        <v>1</v>
      </c>
      <c r="F155" s="38">
        <f>IF(AND($B155&gt;=8,$B155&lt;=9),1,0)</f>
        <v>0</v>
      </c>
      <c r="G155" s="37" t="e">
        <f>IF(ABS($B155-Up_MinNorm)&lt;=0.025,Up_YTop,NA())</f>
        <v>#N/A</v>
      </c>
      <c r="H155" s="37" t="e">
        <f>IF(ABS($B155-Up_MinPara)&lt;=0.025,Up_YTop,NA())</f>
        <v>#N/A</v>
      </c>
      <c r="I155" s="37" t="e">
        <f>IF(ABS($B155-Up_SecL)&lt;=0.025,C155,NA())</f>
        <v>#N/A</v>
      </c>
      <c r="J155" s="37" t="e">
        <f>IF(AND(Up_Par0&gt;=0,Up_Par0&lt;=10),IF(ABS($B155-Up_Par0)&lt;=0.025,D155,NA()),NA())</f>
        <v>#N/A</v>
      </c>
      <c r="K155" s="39">
        <f>IF(MOD(52,20)=0,TEXT($B155,"0"),"")</f>
        <v/>
      </c>
    </row>
    <row r="156" spans="2:11" ht="17" customHeight="1">
      <c r="B156" s="36">
        <v>2.65</v>
      </c>
      <c r="C156" s="37">
        <f>IF((Up_Basis="Per kg H2 (kWh)"),$B156+(Up_RlL+Up_ElzL)/Ship_CargoL,($B156*Ship_CargoL+Up_RlL+Up_ElzL)/1000)</f>
        <v>7588.4856</v>
      </c>
      <c r="D156" s="37">
        <f>IF((Up_Basis="Per kg H2 (kWh)"),(Up_HB+Up_RlN+Up_ElzN)/Up_H2N,(Up_HB+Up_RlN+Up_ElzN)/1000)</f>
        <v>4897.00357142857</v>
      </c>
      <c r="E156" s="38">
        <f>IF($B156&lt;=Up_MinPara,1,0)</f>
        <v>1</v>
      </c>
      <c r="F156" s="38">
        <f>IF(AND($B156&gt;=8,$B156&lt;=9),1,0)</f>
        <v>0</v>
      </c>
      <c r="G156" s="37" t="e">
        <f>IF(ABS($B156-Up_MinNorm)&lt;=0.025,Up_YTop,NA())</f>
        <v>#N/A</v>
      </c>
      <c r="H156" s="37" t="e">
        <f>IF(ABS($B156-Up_MinPara)&lt;=0.025,Up_YTop,NA())</f>
        <v>#N/A</v>
      </c>
      <c r="I156" s="37" t="e">
        <f>IF(ABS($B156-Up_SecL)&lt;=0.025,C156,NA())</f>
        <v>#N/A</v>
      </c>
      <c r="J156" s="37" t="e">
        <f>IF(AND(Up_Par0&gt;=0,Up_Par0&lt;=10),IF(ABS($B156-Up_Par0)&lt;=0.025,D156,NA()),NA())</f>
        <v>#N/A</v>
      </c>
      <c r="K156" s="39">
        <f>IF(MOD(53,20)=0,TEXT($B156,"0"),"")</f>
        <v/>
      </c>
    </row>
    <row r="157" spans="2:11" ht="17" customHeight="1">
      <c r="B157" s="36">
        <v>2.7</v>
      </c>
      <c r="C157" s="37">
        <f>IF((Up_Basis="Per kg H2 (kWh)"),$B157+(Up_RlL+Up_ElzL)/Ship_CargoL,($B157*Ship_CargoL+Up_RlL+Up_ElzL)/1000)</f>
        <v>7730.0856</v>
      </c>
      <c r="D157" s="37">
        <f>IF((Up_Basis="Per kg H2 (kWh)"),(Up_HB+Up_RlN+Up_ElzN)/Up_H2N,(Up_HB+Up_RlN+Up_ElzN)/1000)</f>
        <v>4897.00357142857</v>
      </c>
      <c r="E157" s="38">
        <f>IF($B157&lt;=Up_MinPara,1,0)</f>
        <v>1</v>
      </c>
      <c r="F157" s="38">
        <f>IF(AND($B157&gt;=8,$B157&lt;=9),1,0)</f>
        <v>0</v>
      </c>
      <c r="G157" s="37" t="e">
        <f>IF(ABS($B157-Up_MinNorm)&lt;=0.025,Up_YTop,NA())</f>
        <v>#N/A</v>
      </c>
      <c r="H157" s="37" t="e">
        <f>IF(ABS($B157-Up_MinPara)&lt;=0.025,Up_YTop,NA())</f>
        <v>#N/A</v>
      </c>
      <c r="I157" s="37" t="e">
        <f>IF(ABS($B157-Up_SecL)&lt;=0.025,C157,NA())</f>
        <v>#N/A</v>
      </c>
      <c r="J157" s="37" t="e">
        <f>IF(AND(Up_Par0&gt;=0,Up_Par0&lt;=10),IF(ABS($B157-Up_Par0)&lt;=0.025,D157,NA()),NA())</f>
        <v>#N/A</v>
      </c>
      <c r="K157" s="39">
        <f>IF(MOD(54,20)=0,TEXT($B157,"0"),"")</f>
        <v/>
      </c>
    </row>
    <row r="158" spans="2:11" ht="17" customHeight="1">
      <c r="B158" s="36">
        <v>2.75</v>
      </c>
      <c r="C158" s="37">
        <f>IF((Up_Basis="Per kg H2 (kWh)"),$B158+(Up_RlL+Up_ElzL)/Ship_CargoL,($B158*Ship_CargoL+Up_RlL+Up_ElzL)/1000)</f>
        <v>7871.6856</v>
      </c>
      <c r="D158" s="37">
        <f>IF((Up_Basis="Per kg H2 (kWh)"),(Up_HB+Up_RlN+Up_ElzN)/Up_H2N,(Up_HB+Up_RlN+Up_ElzN)/1000)</f>
        <v>4897.00357142857</v>
      </c>
      <c r="E158" s="38">
        <f>IF($B158&lt;=Up_MinPara,1,0)</f>
        <v>1</v>
      </c>
      <c r="F158" s="38">
        <f>IF(AND($B158&gt;=8,$B158&lt;=9),1,0)</f>
        <v>0</v>
      </c>
      <c r="G158" s="37" t="e">
        <f>IF(ABS($B158-Up_MinNorm)&lt;=0.025,Up_YTop,NA())</f>
        <v>#N/A</v>
      </c>
      <c r="H158" s="37" t="e">
        <f>IF(ABS($B158-Up_MinPara)&lt;=0.025,Up_YTop,NA())</f>
        <v>#N/A</v>
      </c>
      <c r="I158" s="37" t="e">
        <f>IF(ABS($B158-Up_SecL)&lt;=0.025,C158,NA())</f>
        <v>#N/A</v>
      </c>
      <c r="J158" s="37" t="e">
        <f>IF(AND(Up_Par0&gt;=0,Up_Par0&lt;=10),IF(ABS($B158-Up_Par0)&lt;=0.025,D158,NA()),NA())</f>
        <v>#N/A</v>
      </c>
      <c r="K158" s="39">
        <f>IF(MOD(55,20)=0,TEXT($B158,"0"),"")</f>
        <v/>
      </c>
    </row>
    <row r="159" spans="2:11" ht="17" customHeight="1">
      <c r="B159" s="36">
        <v>2.8</v>
      </c>
      <c r="C159" s="37">
        <f>IF((Up_Basis="Per kg H2 (kWh)"),$B159+(Up_RlL+Up_ElzL)/Ship_CargoL,($B159*Ship_CargoL+Up_RlL+Up_ElzL)/1000)</f>
        <v>8013.2856</v>
      </c>
      <c r="D159" s="37">
        <f>IF((Up_Basis="Per kg H2 (kWh)"),(Up_HB+Up_RlN+Up_ElzN)/Up_H2N,(Up_HB+Up_RlN+Up_ElzN)/1000)</f>
        <v>4897.00357142857</v>
      </c>
      <c r="E159" s="38">
        <f>IF($B159&lt;=Up_MinPara,1,0)</f>
        <v>1</v>
      </c>
      <c r="F159" s="38">
        <f>IF(AND($B159&gt;=8,$B159&lt;=9),1,0)</f>
        <v>0</v>
      </c>
      <c r="G159" s="37" t="e">
        <f>IF(ABS($B159-Up_MinNorm)&lt;=0.025,Up_YTop,NA())</f>
        <v>#N/A</v>
      </c>
      <c r="H159" s="37" t="e">
        <f>IF(ABS($B159-Up_MinPara)&lt;=0.025,Up_YTop,NA())</f>
        <v>#N/A</v>
      </c>
      <c r="I159" s="37" t="e">
        <f>IF(ABS($B159-Up_SecL)&lt;=0.025,C159,NA())</f>
        <v>#N/A</v>
      </c>
      <c r="J159" s="37" t="e">
        <f>IF(AND(Up_Par0&gt;=0,Up_Par0&lt;=10),IF(ABS($B159-Up_Par0)&lt;=0.025,D159,NA()),NA())</f>
        <v>#N/A</v>
      </c>
      <c r="K159" s="39">
        <f>IF(MOD(56,20)=0,TEXT($B159,"0"),"")</f>
        <v/>
      </c>
    </row>
    <row r="160" spans="2:11" ht="17" customHeight="1">
      <c r="B160" s="36">
        <v>2.85</v>
      </c>
      <c r="C160" s="37">
        <f>IF((Up_Basis="Per kg H2 (kWh)"),$B160+(Up_RlL+Up_ElzL)/Ship_CargoL,($B160*Ship_CargoL+Up_RlL+Up_ElzL)/1000)</f>
        <v>8154.8856</v>
      </c>
      <c r="D160" s="37">
        <f>IF((Up_Basis="Per kg H2 (kWh)"),(Up_HB+Up_RlN+Up_ElzN)/Up_H2N,(Up_HB+Up_RlN+Up_ElzN)/1000)</f>
        <v>4897.00357142857</v>
      </c>
      <c r="E160" s="38">
        <f>IF($B160&lt;=Up_MinPara,1,0)</f>
        <v>1</v>
      </c>
      <c r="F160" s="38">
        <f>IF(AND($B160&gt;=8,$B160&lt;=9),1,0)</f>
        <v>0</v>
      </c>
      <c r="G160" s="37" t="e">
        <f>IF(ABS($B160-Up_MinNorm)&lt;=0.025,Up_YTop,NA())</f>
        <v>#N/A</v>
      </c>
      <c r="H160" s="37" t="e">
        <f>IF(ABS($B160-Up_MinPara)&lt;=0.025,Up_YTop,NA())</f>
        <v>#N/A</v>
      </c>
      <c r="I160" s="37" t="e">
        <f>IF(ABS($B160-Up_SecL)&lt;=0.025,C160,NA())</f>
        <v>#N/A</v>
      </c>
      <c r="J160" s="37" t="e">
        <f>IF(AND(Up_Par0&gt;=0,Up_Par0&lt;=10),IF(ABS($B160-Up_Par0)&lt;=0.025,D160,NA()),NA())</f>
        <v>#N/A</v>
      </c>
      <c r="K160" s="39">
        <f>IF(MOD(57,20)=0,TEXT($B160,"0"),"")</f>
        <v/>
      </c>
    </row>
    <row r="161" spans="2:11" ht="17" customHeight="1">
      <c r="B161" s="36">
        <v>2.9</v>
      </c>
      <c r="C161" s="37">
        <f>IF((Up_Basis="Per kg H2 (kWh)"),$B161+(Up_RlL+Up_ElzL)/Ship_CargoL,($B161*Ship_CargoL+Up_RlL+Up_ElzL)/1000)</f>
        <v>8296.4856</v>
      </c>
      <c r="D161" s="37">
        <f>IF((Up_Basis="Per kg H2 (kWh)"),(Up_HB+Up_RlN+Up_ElzN)/Up_H2N,(Up_HB+Up_RlN+Up_ElzN)/1000)</f>
        <v>4897.00357142857</v>
      </c>
      <c r="E161" s="38">
        <f>IF($B161&lt;=Up_MinPara,1,0)</f>
        <v>1</v>
      </c>
      <c r="F161" s="38">
        <f>IF(AND($B161&gt;=8,$B161&lt;=9),1,0)</f>
        <v>0</v>
      </c>
      <c r="G161" s="37" t="e">
        <f>IF(ABS($B161-Up_MinNorm)&lt;=0.025,Up_YTop,NA())</f>
        <v>#N/A</v>
      </c>
      <c r="H161" s="37" t="e">
        <f>IF(ABS($B161-Up_MinPara)&lt;=0.025,Up_YTop,NA())</f>
        <v>#N/A</v>
      </c>
      <c r="I161" s="37" t="e">
        <f>IF(ABS($B161-Up_SecL)&lt;=0.025,C161,NA())</f>
        <v>#N/A</v>
      </c>
      <c r="J161" s="37" t="e">
        <f>IF(AND(Up_Par0&gt;=0,Up_Par0&lt;=10),IF(ABS($B161-Up_Par0)&lt;=0.025,D161,NA()),NA())</f>
        <v>#N/A</v>
      </c>
      <c r="K161" s="39">
        <f>IF(MOD(58,20)=0,TEXT($B161,"0"),"")</f>
        <v/>
      </c>
    </row>
    <row r="162" spans="2:11" ht="17" customHeight="1">
      <c r="B162" s="36">
        <v>2.95</v>
      </c>
      <c r="C162" s="37">
        <f>IF((Up_Basis="Per kg H2 (kWh)"),$B162+(Up_RlL+Up_ElzL)/Ship_CargoL,($B162*Ship_CargoL+Up_RlL+Up_ElzL)/1000)</f>
        <v>8438.0856</v>
      </c>
      <c r="D162" s="37">
        <f>IF((Up_Basis="Per kg H2 (kWh)"),(Up_HB+Up_RlN+Up_ElzN)/Up_H2N,(Up_HB+Up_RlN+Up_ElzN)/1000)</f>
        <v>4897.00357142857</v>
      </c>
      <c r="E162" s="38">
        <f>IF($B162&lt;=Up_MinPara,1,0)</f>
        <v>1</v>
      </c>
      <c r="F162" s="38">
        <f>IF(AND($B162&gt;=8,$B162&lt;=9),1,0)</f>
        <v>0</v>
      </c>
      <c r="G162" s="37" t="e">
        <f>IF(ABS($B162-Up_MinNorm)&lt;=0.025,Up_YTop,NA())</f>
        <v>#N/A</v>
      </c>
      <c r="H162" s="37" t="e">
        <f>IF(ABS($B162-Up_MinPara)&lt;=0.025,Up_YTop,NA())</f>
        <v>#N/A</v>
      </c>
      <c r="I162" s="37" t="e">
        <f>IF(ABS($B162-Up_SecL)&lt;=0.025,C162,NA())</f>
        <v>#N/A</v>
      </c>
      <c r="J162" s="37" t="e">
        <f>IF(AND(Up_Par0&gt;=0,Up_Par0&lt;=10),IF(ABS($B162-Up_Par0)&lt;=0.025,D162,NA()),NA())</f>
        <v>#N/A</v>
      </c>
      <c r="K162" s="39">
        <f>IF(MOD(59,20)=0,TEXT($B162,"0"),"")</f>
        <v/>
      </c>
    </row>
    <row r="163" spans="2:11" ht="17" customHeight="1">
      <c r="B163" s="36">
        <v>3</v>
      </c>
      <c r="C163" s="37">
        <f>IF((Up_Basis="Per kg H2 (kWh)"),$B163+(Up_RlL+Up_ElzL)/Ship_CargoL,($B163*Ship_CargoL+Up_RlL+Up_ElzL)/1000)</f>
        <v>8579.6856</v>
      </c>
      <c r="D163" s="37">
        <f>IF((Up_Basis="Per kg H2 (kWh)"),(Up_HB+Up_RlN+Up_ElzN)/Up_H2N,(Up_HB+Up_RlN+Up_ElzN)/1000)</f>
        <v>4897.00357142857</v>
      </c>
      <c r="E163" s="38">
        <f>IF($B163&lt;=Up_MinPara,1,0)</f>
        <v>1</v>
      </c>
      <c r="F163" s="38">
        <f>IF(AND($B163&gt;=8,$B163&lt;=9),1,0)</f>
        <v>0</v>
      </c>
      <c r="G163" s="37" t="e">
        <f>IF(ABS($B163-Up_MinNorm)&lt;=0.025,Up_YTop,NA())</f>
        <v>#N/A</v>
      </c>
      <c r="H163" s="37" t="e">
        <f>IF(ABS($B163-Up_MinPara)&lt;=0.025,Up_YTop,NA())</f>
        <v>#N/A</v>
      </c>
      <c r="I163" s="37" t="e">
        <f>IF(ABS($B163-Up_SecL)&lt;=0.025,C163,NA())</f>
        <v>#N/A</v>
      </c>
      <c r="J163" s="37" t="e">
        <f>IF(AND(Up_Par0&gt;=0,Up_Par0&lt;=10),IF(ABS($B163-Up_Par0)&lt;=0.025,D163,NA()),NA())</f>
        <v>#N/A</v>
      </c>
      <c r="K163" s="39" t="str">
        <f>IF(MOD(60,20)=0,TEXT($B163,"0"),"")</f>
        <v>3</v>
      </c>
    </row>
    <row r="164" spans="2:11" ht="17" customHeight="1">
      <c r="B164" s="36">
        <v>3.05</v>
      </c>
      <c r="C164" s="37">
        <f>IF((Up_Basis="Per kg H2 (kWh)"),$B164+(Up_RlL+Up_ElzL)/Ship_CargoL,($B164*Ship_CargoL+Up_RlL+Up_ElzL)/1000)</f>
        <v>8721.2856</v>
      </c>
      <c r="D164" s="37">
        <f>IF((Up_Basis="Per kg H2 (kWh)"),(Up_HB+Up_RlN+Up_ElzN)/Up_H2N,(Up_HB+Up_RlN+Up_ElzN)/1000)</f>
        <v>4897.00357142857</v>
      </c>
      <c r="E164" s="38">
        <f>IF($B164&lt;=Up_MinPara,1,0)</f>
        <v>1</v>
      </c>
      <c r="F164" s="38">
        <f>IF(AND($B164&gt;=8,$B164&lt;=9),1,0)</f>
        <v>0</v>
      </c>
      <c r="G164" s="37" t="e">
        <f>IF(ABS($B164-Up_MinNorm)&lt;=0.025,Up_YTop,NA())</f>
        <v>#N/A</v>
      </c>
      <c r="H164" s="37" t="e">
        <f>IF(ABS($B164-Up_MinPara)&lt;=0.025,Up_YTop,NA())</f>
        <v>#N/A</v>
      </c>
      <c r="I164" s="37" t="e">
        <f>IF(ABS($B164-Up_SecL)&lt;=0.025,C164,NA())</f>
        <v>#N/A</v>
      </c>
      <c r="J164" s="37" t="e">
        <f>IF(AND(Up_Par0&gt;=0,Up_Par0&lt;=10),IF(ABS($B164-Up_Par0)&lt;=0.025,D164,NA()),NA())</f>
        <v>#N/A</v>
      </c>
      <c r="K164" s="39">
        <f>IF(MOD(61,20)=0,TEXT($B164,"0"),"")</f>
        <v/>
      </c>
    </row>
    <row r="165" spans="2:11" ht="17" customHeight="1">
      <c r="B165" s="36">
        <v>3.1</v>
      </c>
      <c r="C165" s="37">
        <f>IF((Up_Basis="Per kg H2 (kWh)"),$B165+(Up_RlL+Up_ElzL)/Ship_CargoL,($B165*Ship_CargoL+Up_RlL+Up_ElzL)/1000)</f>
        <v>8862.8856</v>
      </c>
      <c r="D165" s="37">
        <f>IF((Up_Basis="Per kg H2 (kWh)"),(Up_HB+Up_RlN+Up_ElzN)/Up_H2N,(Up_HB+Up_RlN+Up_ElzN)/1000)</f>
        <v>4897.00357142857</v>
      </c>
      <c r="E165" s="38">
        <f>IF($B165&lt;=Up_MinPara,1,0)</f>
        <v>1</v>
      </c>
      <c r="F165" s="38">
        <f>IF(AND($B165&gt;=8,$B165&lt;=9),1,0)</f>
        <v>0</v>
      </c>
      <c r="G165" s="37" t="e">
        <f>IF(ABS($B165-Up_MinNorm)&lt;=0.025,Up_YTop,NA())</f>
        <v>#N/A</v>
      </c>
      <c r="H165" s="37" t="e">
        <f>IF(ABS($B165-Up_MinPara)&lt;=0.025,Up_YTop,NA())</f>
        <v>#N/A</v>
      </c>
      <c r="I165" s="37" t="e">
        <f>IF(ABS($B165-Up_SecL)&lt;=0.025,C165,NA())</f>
        <v>#N/A</v>
      </c>
      <c r="J165" s="37" t="e">
        <f>IF(AND(Up_Par0&gt;=0,Up_Par0&lt;=10),IF(ABS($B165-Up_Par0)&lt;=0.025,D165,NA()),NA())</f>
        <v>#N/A</v>
      </c>
      <c r="K165" s="39">
        <f>IF(MOD(62,20)=0,TEXT($B165,"0"),"")</f>
        <v/>
      </c>
    </row>
    <row r="166" spans="2:11" ht="17" customHeight="1">
      <c r="B166" s="36">
        <v>3.15</v>
      </c>
      <c r="C166" s="37">
        <f>IF((Up_Basis="Per kg H2 (kWh)"),$B166+(Up_RlL+Up_ElzL)/Ship_CargoL,($B166*Ship_CargoL+Up_RlL+Up_ElzL)/1000)</f>
        <v>9004.4856</v>
      </c>
      <c r="D166" s="37">
        <f>IF((Up_Basis="Per kg H2 (kWh)"),(Up_HB+Up_RlN+Up_ElzN)/Up_H2N,(Up_HB+Up_RlN+Up_ElzN)/1000)</f>
        <v>4897.00357142857</v>
      </c>
      <c r="E166" s="38">
        <f>IF($B166&lt;=Up_MinPara,1,0)</f>
        <v>1</v>
      </c>
      <c r="F166" s="38">
        <f>IF(AND($B166&gt;=8,$B166&lt;=9),1,0)</f>
        <v>0</v>
      </c>
      <c r="G166" s="37" t="e">
        <f>IF(ABS($B166-Up_MinNorm)&lt;=0.025,Up_YTop,NA())</f>
        <v>#N/A</v>
      </c>
      <c r="H166" s="37" t="e">
        <f>IF(ABS($B166-Up_MinPara)&lt;=0.025,Up_YTop,NA())</f>
        <v>#N/A</v>
      </c>
      <c r="I166" s="37" t="e">
        <f>IF(ABS($B166-Up_SecL)&lt;=0.025,C166,NA())</f>
        <v>#N/A</v>
      </c>
      <c r="J166" s="37" t="e">
        <f>IF(AND(Up_Par0&gt;=0,Up_Par0&lt;=10),IF(ABS($B166-Up_Par0)&lt;=0.025,D166,NA()),NA())</f>
        <v>#N/A</v>
      </c>
      <c r="K166" s="39">
        <f>IF(MOD(63,20)=0,TEXT($B166,"0"),"")</f>
        <v/>
      </c>
    </row>
    <row r="167" spans="2:11" ht="17" customHeight="1">
      <c r="B167" s="36">
        <v>3.2</v>
      </c>
      <c r="C167" s="37">
        <f>IF((Up_Basis="Per kg H2 (kWh)"),$B167+(Up_RlL+Up_ElzL)/Ship_CargoL,($B167*Ship_CargoL+Up_RlL+Up_ElzL)/1000)</f>
        <v>9146.0856</v>
      </c>
      <c r="D167" s="37">
        <f>IF((Up_Basis="Per kg H2 (kWh)"),(Up_HB+Up_RlN+Up_ElzN)/Up_H2N,(Up_HB+Up_RlN+Up_ElzN)/1000)</f>
        <v>4897.00357142857</v>
      </c>
      <c r="E167" s="38">
        <f>IF($B167&lt;=Up_MinPara,1,0)</f>
        <v>1</v>
      </c>
      <c r="F167" s="38">
        <f>IF(AND($B167&gt;=8,$B167&lt;=9),1,0)</f>
        <v>0</v>
      </c>
      <c r="G167" s="37" t="e">
        <f>IF(ABS($B167-Up_MinNorm)&lt;=0.025,Up_YTop,NA())</f>
        <v>#N/A</v>
      </c>
      <c r="H167" s="37" t="e">
        <f>IF(ABS($B167-Up_MinPara)&lt;=0.025,Up_YTop,NA())</f>
        <v>#N/A</v>
      </c>
      <c r="I167" s="37" t="e">
        <f>IF(ABS($B167-Up_SecL)&lt;=0.025,C167,NA())</f>
        <v>#N/A</v>
      </c>
      <c r="J167" s="37" t="e">
        <f>IF(AND(Up_Par0&gt;=0,Up_Par0&lt;=10),IF(ABS($B167-Up_Par0)&lt;=0.025,D167,NA()),NA())</f>
        <v>#N/A</v>
      </c>
      <c r="K167" s="39">
        <f>IF(MOD(64,20)=0,TEXT($B167,"0"),"")</f>
        <v/>
      </c>
    </row>
    <row r="168" spans="2:11" ht="17" customHeight="1">
      <c r="B168" s="36">
        <v>3.25</v>
      </c>
      <c r="C168" s="37">
        <f>IF((Up_Basis="Per kg H2 (kWh)"),$B168+(Up_RlL+Up_ElzL)/Ship_CargoL,($B168*Ship_CargoL+Up_RlL+Up_ElzL)/1000)</f>
        <v>9287.6856</v>
      </c>
      <c r="D168" s="37">
        <f>IF((Up_Basis="Per kg H2 (kWh)"),(Up_HB+Up_RlN+Up_ElzN)/Up_H2N,(Up_HB+Up_RlN+Up_ElzN)/1000)</f>
        <v>4897.00357142857</v>
      </c>
      <c r="E168" s="38">
        <f>IF($B168&lt;=Up_MinPara,1,0)</f>
        <v>1</v>
      </c>
      <c r="F168" s="38">
        <f>IF(AND($B168&gt;=8,$B168&lt;=9),1,0)</f>
        <v>0</v>
      </c>
      <c r="G168" s="37" t="e">
        <f>IF(ABS($B168-Up_MinNorm)&lt;=0.025,Up_YTop,NA())</f>
        <v>#N/A</v>
      </c>
      <c r="H168" s="37" t="e">
        <f>IF(ABS($B168-Up_MinPara)&lt;=0.025,Up_YTop,NA())</f>
        <v>#N/A</v>
      </c>
      <c r="I168" s="37" t="e">
        <f>IF(ABS($B168-Up_SecL)&lt;=0.025,C168,NA())</f>
        <v>#N/A</v>
      </c>
      <c r="J168" s="37" t="e">
        <f>IF(AND(Up_Par0&gt;=0,Up_Par0&lt;=10),IF(ABS($B168-Up_Par0)&lt;=0.025,D168,NA()),NA())</f>
        <v>#N/A</v>
      </c>
      <c r="K168" s="39">
        <f>IF(MOD(65,20)=0,TEXT($B168,"0"),"")</f>
        <v/>
      </c>
    </row>
    <row r="169" spans="2:11" ht="17" customHeight="1">
      <c r="B169" s="36">
        <v>3.3</v>
      </c>
      <c r="C169" s="37">
        <f>IF((Up_Basis="Per kg H2 (kWh)"),$B169+(Up_RlL+Up_ElzL)/Ship_CargoL,($B169*Ship_CargoL+Up_RlL+Up_ElzL)/1000)</f>
        <v>9429.2856</v>
      </c>
      <c r="D169" s="37">
        <f>IF((Up_Basis="Per kg H2 (kWh)"),(Up_HB+Up_RlN+Up_ElzN)/Up_H2N,(Up_HB+Up_RlN+Up_ElzN)/1000)</f>
        <v>4897.00357142857</v>
      </c>
      <c r="E169" s="38">
        <f>IF($B169&lt;=Up_MinPara,1,0)</f>
        <v>1</v>
      </c>
      <c r="F169" s="38">
        <f>IF(AND($B169&gt;=8,$B169&lt;=9),1,0)</f>
        <v>0</v>
      </c>
      <c r="G169" s="37">
        <f>IF(ABS($B169-Up_MinNorm)&lt;=0.025,Up_YTop,NA())</f>
        <v>28403.6856</v>
      </c>
      <c r="H169" s="37" t="e">
        <f>IF(ABS($B169-Up_MinPara)&lt;=0.025,Up_YTop,NA())</f>
        <v>#N/A</v>
      </c>
      <c r="I169" s="37" t="e">
        <f>IF(ABS($B169-Up_SecL)&lt;=0.025,C169,NA())</f>
        <v>#N/A</v>
      </c>
      <c r="J169" s="37" t="e">
        <f>IF(AND(Up_Par0&gt;=0,Up_Par0&lt;=10),IF(ABS($B169-Up_Par0)&lt;=0.025,D169,NA()),NA())</f>
        <v>#N/A</v>
      </c>
      <c r="K169" s="39">
        <f>IF(MOD(66,20)=0,TEXT($B169,"0"),"")</f>
        <v/>
      </c>
    </row>
    <row r="170" spans="2:11" ht="17" customHeight="1">
      <c r="B170" s="36">
        <v>3.35</v>
      </c>
      <c r="C170" s="37">
        <f>IF((Up_Basis="Per kg H2 (kWh)"),$B170+(Up_RlL+Up_ElzL)/Ship_CargoL,($B170*Ship_CargoL+Up_RlL+Up_ElzL)/1000)</f>
        <v>9570.8856</v>
      </c>
      <c r="D170" s="37">
        <f>IF((Up_Basis="Per kg H2 (kWh)"),(Up_HB+Up_RlN+Up_ElzN)/Up_H2N,(Up_HB+Up_RlN+Up_ElzN)/1000)</f>
        <v>4897.00357142857</v>
      </c>
      <c r="E170" s="38">
        <f>IF($B170&lt;=Up_MinPara,1,0)</f>
        <v>1</v>
      </c>
      <c r="F170" s="38">
        <f>IF(AND($B170&gt;=8,$B170&lt;=9),1,0)</f>
        <v>0</v>
      </c>
      <c r="G170" s="37" t="e">
        <f>IF(ABS($B170-Up_MinNorm)&lt;=0.025,Up_YTop,NA())</f>
        <v>#N/A</v>
      </c>
      <c r="H170" s="37" t="e">
        <f>IF(ABS($B170-Up_MinPara)&lt;=0.025,Up_YTop,NA())</f>
        <v>#N/A</v>
      </c>
      <c r="I170" s="37" t="e">
        <f>IF(ABS($B170-Up_SecL)&lt;=0.025,C170,NA())</f>
        <v>#N/A</v>
      </c>
      <c r="J170" s="37" t="e">
        <f>IF(AND(Up_Par0&gt;=0,Up_Par0&lt;=10),IF(ABS($B170-Up_Par0)&lt;=0.025,D170,NA()),NA())</f>
        <v>#N/A</v>
      </c>
      <c r="K170" s="39">
        <f>IF(MOD(67,20)=0,TEXT($B170,"0"),"")</f>
        <v/>
      </c>
    </row>
    <row r="171" spans="2:11" ht="17" customHeight="1">
      <c r="B171" s="36">
        <v>3.4</v>
      </c>
      <c r="C171" s="37">
        <f>IF((Up_Basis="Per kg H2 (kWh)"),$B171+(Up_RlL+Up_ElzL)/Ship_CargoL,($B171*Ship_CargoL+Up_RlL+Up_ElzL)/1000)</f>
        <v>9712.4856</v>
      </c>
      <c r="D171" s="37">
        <f>IF((Up_Basis="Per kg H2 (kWh)"),(Up_HB+Up_RlN+Up_ElzN)/Up_H2N,(Up_HB+Up_RlN+Up_ElzN)/1000)</f>
        <v>4897.00357142857</v>
      </c>
      <c r="E171" s="38">
        <f>IF($B171&lt;=Up_MinPara,1,0)</f>
        <v>1</v>
      </c>
      <c r="F171" s="38">
        <f>IF(AND($B171&gt;=8,$B171&lt;=9),1,0)</f>
        <v>0</v>
      </c>
      <c r="G171" s="37" t="e">
        <f>IF(ABS($B171-Up_MinNorm)&lt;=0.025,Up_YTop,NA())</f>
        <v>#N/A</v>
      </c>
      <c r="H171" s="37" t="e">
        <f>IF(ABS($B171-Up_MinPara)&lt;=0.025,Up_YTop,NA())</f>
        <v>#N/A</v>
      </c>
      <c r="I171" s="37" t="e">
        <f>IF(ABS($B171-Up_SecL)&lt;=0.025,C171,NA())</f>
        <v>#N/A</v>
      </c>
      <c r="J171" s="37" t="e">
        <f>IF(AND(Up_Par0&gt;=0,Up_Par0&lt;=10),IF(ABS($B171-Up_Par0)&lt;=0.025,D171,NA()),NA())</f>
        <v>#N/A</v>
      </c>
      <c r="K171" s="39">
        <f>IF(MOD(68,20)=0,TEXT($B171,"0"),"")</f>
        <v/>
      </c>
    </row>
    <row r="172" spans="2:11" ht="17" customHeight="1">
      <c r="B172" s="36">
        <v>3.45</v>
      </c>
      <c r="C172" s="37">
        <f>IF((Up_Basis="Per kg H2 (kWh)"),$B172+(Up_RlL+Up_ElzL)/Ship_CargoL,($B172*Ship_CargoL+Up_RlL+Up_ElzL)/1000)</f>
        <v>9854.0856</v>
      </c>
      <c r="D172" s="37">
        <f>IF((Up_Basis="Per kg H2 (kWh)"),(Up_HB+Up_RlN+Up_ElzN)/Up_H2N,(Up_HB+Up_RlN+Up_ElzN)/1000)</f>
        <v>4897.00357142857</v>
      </c>
      <c r="E172" s="38">
        <f>IF($B172&lt;=Up_MinPara,1,0)</f>
        <v>1</v>
      </c>
      <c r="F172" s="38">
        <f>IF(AND($B172&gt;=8,$B172&lt;=9),1,0)</f>
        <v>0</v>
      </c>
      <c r="G172" s="37" t="e">
        <f>IF(ABS($B172-Up_MinNorm)&lt;=0.025,Up_YTop,NA())</f>
        <v>#N/A</v>
      </c>
      <c r="H172" s="37" t="e">
        <f>IF(ABS($B172-Up_MinPara)&lt;=0.025,Up_YTop,NA())</f>
        <v>#N/A</v>
      </c>
      <c r="I172" s="37" t="e">
        <f>IF(ABS($B172-Up_SecL)&lt;=0.025,C172,NA())</f>
        <v>#N/A</v>
      </c>
      <c r="J172" s="37" t="e">
        <f>IF(AND(Up_Par0&gt;=0,Up_Par0&lt;=10),IF(ABS($B172-Up_Par0)&lt;=0.025,D172,NA()),NA())</f>
        <v>#N/A</v>
      </c>
      <c r="K172" s="39">
        <f>IF(MOD(69,20)=0,TEXT($B172,"0"),"")</f>
        <v/>
      </c>
    </row>
    <row r="173" spans="2:11" ht="17" customHeight="1">
      <c r="B173" s="36">
        <v>3.5</v>
      </c>
      <c r="C173" s="37">
        <f>IF((Up_Basis="Per kg H2 (kWh)"),$B173+(Up_RlL+Up_ElzL)/Ship_CargoL,($B173*Ship_CargoL+Up_RlL+Up_ElzL)/1000)</f>
        <v>9995.6856</v>
      </c>
      <c r="D173" s="37">
        <f>IF((Up_Basis="Per kg H2 (kWh)"),(Up_HB+Up_RlN+Up_ElzN)/Up_H2N,(Up_HB+Up_RlN+Up_ElzN)/1000)</f>
        <v>4897.00357142857</v>
      </c>
      <c r="E173" s="38">
        <f>IF($B173&lt;=Up_MinPara,1,0)</f>
        <v>1</v>
      </c>
      <c r="F173" s="38">
        <f>IF(AND($B173&gt;=8,$B173&lt;=9),1,0)</f>
        <v>0</v>
      </c>
      <c r="G173" s="37" t="e">
        <f>IF(ABS($B173-Up_MinNorm)&lt;=0.025,Up_YTop,NA())</f>
        <v>#N/A</v>
      </c>
      <c r="H173" s="37" t="e">
        <f>IF(ABS($B173-Up_MinPara)&lt;=0.025,Up_YTop,NA())</f>
        <v>#N/A</v>
      </c>
      <c r="I173" s="37" t="e">
        <f>IF(ABS($B173-Up_SecL)&lt;=0.025,C173,NA())</f>
        <v>#N/A</v>
      </c>
      <c r="J173" s="37" t="e">
        <f>IF(AND(Up_Par0&gt;=0,Up_Par0&lt;=10),IF(ABS($B173-Up_Par0)&lt;=0.025,D173,NA()),NA())</f>
        <v>#N/A</v>
      </c>
      <c r="K173" s="39">
        <f>IF(MOD(70,20)=0,TEXT($B173,"0"),"")</f>
        <v/>
      </c>
    </row>
    <row r="174" spans="2:11" ht="17" customHeight="1">
      <c r="B174" s="36">
        <v>3.55</v>
      </c>
      <c r="C174" s="37">
        <f>IF((Up_Basis="Per kg H2 (kWh)"),$B174+(Up_RlL+Up_ElzL)/Ship_CargoL,($B174*Ship_CargoL+Up_RlL+Up_ElzL)/1000)</f>
        <v>10137.2856</v>
      </c>
      <c r="D174" s="37">
        <f>IF((Up_Basis="Per kg H2 (kWh)"),(Up_HB+Up_RlN+Up_ElzN)/Up_H2N,(Up_HB+Up_RlN+Up_ElzN)/1000)</f>
        <v>4897.00357142857</v>
      </c>
      <c r="E174" s="38">
        <f>IF($B174&lt;=Up_MinPara,1,0)</f>
        <v>1</v>
      </c>
      <c r="F174" s="38">
        <f>IF(AND($B174&gt;=8,$B174&lt;=9),1,0)</f>
        <v>0</v>
      </c>
      <c r="G174" s="37" t="e">
        <f>IF(ABS($B174-Up_MinNorm)&lt;=0.025,Up_YTop,NA())</f>
        <v>#N/A</v>
      </c>
      <c r="H174" s="37" t="e">
        <f>IF(ABS($B174-Up_MinPara)&lt;=0.025,Up_YTop,NA())</f>
        <v>#N/A</v>
      </c>
      <c r="I174" s="37" t="e">
        <f>IF(ABS($B174-Up_SecL)&lt;=0.025,C174,NA())</f>
        <v>#N/A</v>
      </c>
      <c r="J174" s="37" t="e">
        <f>IF(AND(Up_Par0&gt;=0,Up_Par0&lt;=10),IF(ABS($B174-Up_Par0)&lt;=0.025,D174,NA()),NA())</f>
        <v>#N/A</v>
      </c>
      <c r="K174" s="39">
        <f>IF(MOD(71,20)=0,TEXT($B174,"0"),"")</f>
        <v/>
      </c>
    </row>
    <row r="175" spans="2:11" ht="17" customHeight="1">
      <c r="B175" s="36">
        <v>3.6</v>
      </c>
      <c r="C175" s="37">
        <f>IF((Up_Basis="Per kg H2 (kWh)"),$B175+(Up_RlL+Up_ElzL)/Ship_CargoL,($B175*Ship_CargoL+Up_RlL+Up_ElzL)/1000)</f>
        <v>10278.8856</v>
      </c>
      <c r="D175" s="37">
        <f>IF((Up_Basis="Per kg H2 (kWh)"),(Up_HB+Up_RlN+Up_ElzN)/Up_H2N,(Up_HB+Up_RlN+Up_ElzN)/1000)</f>
        <v>4897.00357142857</v>
      </c>
      <c r="E175" s="38">
        <f>IF($B175&lt;=Up_MinPara,1,0)</f>
        <v>1</v>
      </c>
      <c r="F175" s="38">
        <f>IF(AND($B175&gt;=8,$B175&lt;=9),1,0)</f>
        <v>0</v>
      </c>
      <c r="G175" s="37" t="e">
        <f>IF(ABS($B175-Up_MinNorm)&lt;=0.025,Up_YTop,NA())</f>
        <v>#N/A</v>
      </c>
      <c r="H175" s="37" t="e">
        <f>IF(ABS($B175-Up_MinPara)&lt;=0.025,Up_YTop,NA())</f>
        <v>#N/A</v>
      </c>
      <c r="I175" s="37" t="e">
        <f>IF(ABS($B175-Up_SecL)&lt;=0.025,C175,NA())</f>
        <v>#N/A</v>
      </c>
      <c r="J175" s="37" t="e">
        <f>IF(AND(Up_Par0&gt;=0,Up_Par0&lt;=10),IF(ABS($B175-Up_Par0)&lt;=0.025,D175,NA()),NA())</f>
        <v>#N/A</v>
      </c>
      <c r="K175" s="39">
        <f>IF(MOD(72,20)=0,TEXT($B175,"0"),"")</f>
        <v/>
      </c>
    </row>
    <row r="176" spans="2:11" ht="17" customHeight="1">
      <c r="B176" s="36">
        <v>3.65</v>
      </c>
      <c r="C176" s="37">
        <f>IF((Up_Basis="Per kg H2 (kWh)"),$B176+(Up_RlL+Up_ElzL)/Ship_CargoL,($B176*Ship_CargoL+Up_RlL+Up_ElzL)/1000)</f>
        <v>10420.4856</v>
      </c>
      <c r="D176" s="37">
        <f>IF((Up_Basis="Per kg H2 (kWh)"),(Up_HB+Up_RlN+Up_ElzN)/Up_H2N,(Up_HB+Up_RlN+Up_ElzN)/1000)</f>
        <v>4897.00357142857</v>
      </c>
      <c r="E176" s="38">
        <f>IF($B176&lt;=Up_MinPara,1,0)</f>
        <v>1</v>
      </c>
      <c r="F176" s="38">
        <f>IF(AND($B176&gt;=8,$B176&lt;=9),1,0)</f>
        <v>0</v>
      </c>
      <c r="G176" s="37" t="e">
        <f>IF(ABS($B176-Up_MinNorm)&lt;=0.025,Up_YTop,NA())</f>
        <v>#N/A</v>
      </c>
      <c r="H176" s="37" t="e">
        <f>IF(ABS($B176-Up_MinPara)&lt;=0.025,Up_YTop,NA())</f>
        <v>#N/A</v>
      </c>
      <c r="I176" s="37" t="e">
        <f>IF(ABS($B176-Up_SecL)&lt;=0.025,C176,NA())</f>
        <v>#N/A</v>
      </c>
      <c r="J176" s="37" t="e">
        <f>IF(AND(Up_Par0&gt;=0,Up_Par0&lt;=10),IF(ABS($B176-Up_Par0)&lt;=0.025,D176,NA()),NA())</f>
        <v>#N/A</v>
      </c>
      <c r="K176" s="39">
        <f>IF(MOD(73,20)=0,TEXT($B176,"0"),"")</f>
        <v/>
      </c>
    </row>
    <row r="177" spans="2:11" ht="17" customHeight="1">
      <c r="B177" s="36">
        <v>3.7</v>
      </c>
      <c r="C177" s="37">
        <f>IF((Up_Basis="Per kg H2 (kWh)"),$B177+(Up_RlL+Up_ElzL)/Ship_CargoL,($B177*Ship_CargoL+Up_RlL+Up_ElzL)/1000)</f>
        <v>10562.0856</v>
      </c>
      <c r="D177" s="37">
        <f>IF((Up_Basis="Per kg H2 (kWh)"),(Up_HB+Up_RlN+Up_ElzN)/Up_H2N,(Up_HB+Up_RlN+Up_ElzN)/1000)</f>
        <v>4897.00357142857</v>
      </c>
      <c r="E177" s="38">
        <f>IF($B177&lt;=Up_MinPara,1,0)</f>
        <v>1</v>
      </c>
      <c r="F177" s="38">
        <f>IF(AND($B177&gt;=8,$B177&lt;=9),1,0)</f>
        <v>0</v>
      </c>
      <c r="G177" s="37" t="e">
        <f>IF(ABS($B177-Up_MinNorm)&lt;=0.025,Up_YTop,NA())</f>
        <v>#N/A</v>
      </c>
      <c r="H177" s="37" t="e">
        <f>IF(ABS($B177-Up_MinPara)&lt;=0.025,Up_YTop,NA())</f>
        <v>#N/A</v>
      </c>
      <c r="I177" s="37" t="e">
        <f>IF(ABS($B177-Up_SecL)&lt;=0.025,C177,NA())</f>
        <v>#N/A</v>
      </c>
      <c r="J177" s="37" t="e">
        <f>IF(AND(Up_Par0&gt;=0,Up_Par0&lt;=10),IF(ABS($B177-Up_Par0)&lt;=0.025,D177,NA()),NA())</f>
        <v>#N/A</v>
      </c>
      <c r="K177" s="39">
        <f>IF(MOD(74,20)=0,TEXT($B177,"0"),"")</f>
        <v/>
      </c>
    </row>
    <row r="178" spans="2:11" ht="17" customHeight="1">
      <c r="B178" s="36">
        <v>3.75</v>
      </c>
      <c r="C178" s="37">
        <f>IF((Up_Basis="Per kg H2 (kWh)"),$B178+(Up_RlL+Up_ElzL)/Ship_CargoL,($B178*Ship_CargoL+Up_RlL+Up_ElzL)/1000)</f>
        <v>10703.6856</v>
      </c>
      <c r="D178" s="37">
        <f>IF((Up_Basis="Per kg H2 (kWh)"),(Up_HB+Up_RlN+Up_ElzN)/Up_H2N,(Up_HB+Up_RlN+Up_ElzN)/1000)</f>
        <v>4897.00357142857</v>
      </c>
      <c r="E178" s="38">
        <f>IF($B178&lt;=Up_MinPara,1,0)</f>
        <v>1</v>
      </c>
      <c r="F178" s="38">
        <f>IF(AND($B178&gt;=8,$B178&lt;=9),1,0)</f>
        <v>0</v>
      </c>
      <c r="G178" s="37" t="e">
        <f>IF(ABS($B178-Up_MinNorm)&lt;=0.025,Up_YTop,NA())</f>
        <v>#N/A</v>
      </c>
      <c r="H178" s="37" t="e">
        <f>IF(ABS($B178-Up_MinPara)&lt;=0.025,Up_YTop,NA())</f>
        <v>#N/A</v>
      </c>
      <c r="I178" s="37" t="e">
        <f>IF(ABS($B178-Up_SecL)&lt;=0.025,C178,NA())</f>
        <v>#N/A</v>
      </c>
      <c r="J178" s="37" t="e">
        <f>IF(AND(Up_Par0&gt;=0,Up_Par0&lt;=10),IF(ABS($B178-Up_Par0)&lt;=0.025,D178,NA()),NA())</f>
        <v>#N/A</v>
      </c>
      <c r="K178" s="39">
        <f>IF(MOD(75,20)=0,TEXT($B178,"0"),"")</f>
        <v/>
      </c>
    </row>
    <row r="179" spans="2:11" ht="17" customHeight="1">
      <c r="B179" s="36">
        <v>3.8</v>
      </c>
      <c r="C179" s="37">
        <f>IF((Up_Basis="Per kg H2 (kWh)"),$B179+(Up_RlL+Up_ElzL)/Ship_CargoL,($B179*Ship_CargoL+Up_RlL+Up_ElzL)/1000)</f>
        <v>10845.2856</v>
      </c>
      <c r="D179" s="37">
        <f>IF((Up_Basis="Per kg H2 (kWh)"),(Up_HB+Up_RlN+Up_ElzN)/Up_H2N,(Up_HB+Up_RlN+Up_ElzN)/1000)</f>
        <v>4897.00357142857</v>
      </c>
      <c r="E179" s="38">
        <f>IF($B179&lt;=Up_MinPara,1,0)</f>
        <v>1</v>
      </c>
      <c r="F179" s="38">
        <f>IF(AND($B179&gt;=8,$B179&lt;=9),1,0)</f>
        <v>0</v>
      </c>
      <c r="G179" s="37" t="e">
        <f>IF(ABS($B179-Up_MinNorm)&lt;=0.025,Up_YTop,NA())</f>
        <v>#N/A</v>
      </c>
      <c r="H179" s="37" t="e">
        <f>IF(ABS($B179-Up_MinPara)&lt;=0.025,Up_YTop,NA())</f>
        <v>#N/A</v>
      </c>
      <c r="I179" s="37" t="e">
        <f>IF(ABS($B179-Up_SecL)&lt;=0.025,C179,NA())</f>
        <v>#N/A</v>
      </c>
      <c r="J179" s="37" t="e">
        <f>IF(AND(Up_Par0&gt;=0,Up_Par0&lt;=10),IF(ABS($B179-Up_Par0)&lt;=0.025,D179,NA()),NA())</f>
        <v>#N/A</v>
      </c>
      <c r="K179" s="39">
        <f>IF(MOD(76,20)=0,TEXT($B179,"0"),"")</f>
        <v/>
      </c>
    </row>
    <row r="180" spans="2:11" ht="17" customHeight="1">
      <c r="B180" s="36">
        <v>3.85</v>
      </c>
      <c r="C180" s="37">
        <f>IF((Up_Basis="Per kg H2 (kWh)"),$B180+(Up_RlL+Up_ElzL)/Ship_CargoL,($B180*Ship_CargoL+Up_RlL+Up_ElzL)/1000)</f>
        <v>10986.8856</v>
      </c>
      <c r="D180" s="37">
        <f>IF((Up_Basis="Per kg H2 (kWh)"),(Up_HB+Up_RlN+Up_ElzN)/Up_H2N,(Up_HB+Up_RlN+Up_ElzN)/1000)</f>
        <v>4897.00357142857</v>
      </c>
      <c r="E180" s="38">
        <f>IF($B180&lt;=Up_MinPara,1,0)</f>
        <v>1</v>
      </c>
      <c r="F180" s="38">
        <f>IF(AND($B180&gt;=8,$B180&lt;=9),1,0)</f>
        <v>0</v>
      </c>
      <c r="G180" s="37" t="e">
        <f>IF(ABS($B180-Up_MinNorm)&lt;=0.025,Up_YTop,NA())</f>
        <v>#N/A</v>
      </c>
      <c r="H180" s="37" t="e">
        <f>IF(ABS($B180-Up_MinPara)&lt;=0.025,Up_YTop,NA())</f>
        <v>#N/A</v>
      </c>
      <c r="I180" s="37" t="e">
        <f>IF(ABS($B180-Up_SecL)&lt;=0.025,C180,NA())</f>
        <v>#N/A</v>
      </c>
      <c r="J180" s="37" t="e">
        <f>IF(AND(Up_Par0&gt;=0,Up_Par0&lt;=10),IF(ABS($B180-Up_Par0)&lt;=0.025,D180,NA()),NA())</f>
        <v>#N/A</v>
      </c>
      <c r="K180" s="39">
        <f>IF(MOD(77,20)=0,TEXT($B180,"0"),"")</f>
        <v/>
      </c>
    </row>
    <row r="181" spans="2:11" ht="17" customHeight="1">
      <c r="B181" s="36">
        <v>3.9</v>
      </c>
      <c r="C181" s="37">
        <f>IF((Up_Basis="Per kg H2 (kWh)"),$B181+(Up_RlL+Up_ElzL)/Ship_CargoL,($B181*Ship_CargoL+Up_RlL+Up_ElzL)/1000)</f>
        <v>11128.4856</v>
      </c>
      <c r="D181" s="37">
        <f>IF((Up_Basis="Per kg H2 (kWh)"),(Up_HB+Up_RlN+Up_ElzN)/Up_H2N,(Up_HB+Up_RlN+Up_ElzN)/1000)</f>
        <v>4897.00357142857</v>
      </c>
      <c r="E181" s="38">
        <f>IF($B181&lt;=Up_MinPara,1,0)</f>
        <v>1</v>
      </c>
      <c r="F181" s="38">
        <f>IF(AND($B181&gt;=8,$B181&lt;=9),1,0)</f>
        <v>0</v>
      </c>
      <c r="G181" s="37" t="e">
        <f>IF(ABS($B181-Up_MinNorm)&lt;=0.025,Up_YTop,NA())</f>
        <v>#N/A</v>
      </c>
      <c r="H181" s="37">
        <f>IF(ABS($B181-Up_MinPara)&lt;=0.025,Up_YTop,NA())</f>
        <v>28403.6856</v>
      </c>
      <c r="I181" s="37" t="e">
        <f>IF(ABS($B181-Up_SecL)&lt;=0.025,C181,NA())</f>
        <v>#N/A</v>
      </c>
      <c r="J181" s="37" t="e">
        <f>IF(AND(Up_Par0&gt;=0,Up_Par0&lt;=10),IF(ABS($B181-Up_Par0)&lt;=0.025,D181,NA()),NA())</f>
        <v>#N/A</v>
      </c>
      <c r="K181" s="39">
        <f>IF(MOD(78,20)=0,TEXT($B181,"0"),"")</f>
        <v/>
      </c>
    </row>
    <row r="182" spans="2:11" ht="17" customHeight="1">
      <c r="B182" s="36">
        <v>3.95</v>
      </c>
      <c r="C182" s="37">
        <f>IF((Up_Basis="Per kg H2 (kWh)"),$B182+(Up_RlL+Up_ElzL)/Ship_CargoL,($B182*Ship_CargoL+Up_RlL+Up_ElzL)/1000)</f>
        <v>11270.0856</v>
      </c>
      <c r="D182" s="37">
        <f>IF((Up_Basis="Per kg H2 (kWh)"),(Up_HB+Up_RlN+Up_ElzN)/Up_H2N,(Up_HB+Up_RlN+Up_ElzN)/1000)</f>
        <v>4897.00357142857</v>
      </c>
      <c r="E182" s="38">
        <f>IF($B182&lt;=Up_MinPara,1,0)</f>
        <v>0</v>
      </c>
      <c r="F182" s="38">
        <f>IF(AND($B182&gt;=8,$B182&lt;=9),1,0)</f>
        <v>0</v>
      </c>
      <c r="G182" s="37" t="e">
        <f>IF(ABS($B182-Up_MinNorm)&lt;=0.025,Up_YTop,NA())</f>
        <v>#N/A</v>
      </c>
      <c r="H182" s="37" t="e">
        <f>IF(ABS($B182-Up_MinPara)&lt;=0.025,Up_YTop,NA())</f>
        <v>#N/A</v>
      </c>
      <c r="I182" s="37" t="e">
        <f>IF(ABS($B182-Up_SecL)&lt;=0.025,C182,NA())</f>
        <v>#N/A</v>
      </c>
      <c r="J182" s="37" t="e">
        <f>IF(AND(Up_Par0&gt;=0,Up_Par0&lt;=10),IF(ABS($B182-Up_Par0)&lt;=0.025,D182,NA()),NA())</f>
        <v>#N/A</v>
      </c>
      <c r="K182" s="39">
        <f>IF(MOD(79,20)=0,TEXT($B182,"0"),"")</f>
        <v/>
      </c>
    </row>
    <row r="183" spans="2:11" ht="17" customHeight="1">
      <c r="B183" s="36">
        <v>4</v>
      </c>
      <c r="C183" s="37">
        <f>IF((Up_Basis="Per kg H2 (kWh)"),$B183+(Up_RlL+Up_ElzL)/Ship_CargoL,($B183*Ship_CargoL+Up_RlL+Up_ElzL)/1000)</f>
        <v>11411.6856</v>
      </c>
      <c r="D183" s="37">
        <f>IF((Up_Basis="Per kg H2 (kWh)"),(Up_HB+Up_RlN+Up_ElzN)/Up_H2N,(Up_HB+Up_RlN+Up_ElzN)/1000)</f>
        <v>4897.00357142857</v>
      </c>
      <c r="E183" s="38">
        <f>IF($B183&lt;=Up_MinPara,1,0)</f>
        <v>0</v>
      </c>
      <c r="F183" s="38">
        <f>IF(AND($B183&gt;=8,$B183&lt;=9),1,0)</f>
        <v>0</v>
      </c>
      <c r="G183" s="37" t="e">
        <f>IF(ABS($B183-Up_MinNorm)&lt;=0.025,Up_YTop,NA())</f>
        <v>#N/A</v>
      </c>
      <c r="H183" s="37" t="e">
        <f>IF(ABS($B183-Up_MinPara)&lt;=0.025,Up_YTop,NA())</f>
        <v>#N/A</v>
      </c>
      <c r="I183" s="37" t="e">
        <f>IF(ABS($B183-Up_SecL)&lt;=0.025,C183,NA())</f>
        <v>#N/A</v>
      </c>
      <c r="J183" s="37" t="e">
        <f>IF(AND(Up_Par0&gt;=0,Up_Par0&lt;=10),IF(ABS($B183-Up_Par0)&lt;=0.025,D183,NA()),NA())</f>
        <v>#N/A</v>
      </c>
      <c r="K183" s="39" t="str">
        <f>IF(MOD(80,20)=0,TEXT($B183,"0"),"")</f>
        <v>4</v>
      </c>
    </row>
    <row r="184" spans="2:11" ht="17" customHeight="1">
      <c r="B184" s="36">
        <v>4.05</v>
      </c>
      <c r="C184" s="37">
        <f>IF((Up_Basis="Per kg H2 (kWh)"),$B184+(Up_RlL+Up_ElzL)/Ship_CargoL,($B184*Ship_CargoL+Up_RlL+Up_ElzL)/1000)</f>
        <v>11553.2856</v>
      </c>
      <c r="D184" s="37">
        <f>IF((Up_Basis="Per kg H2 (kWh)"),(Up_HB+Up_RlN+Up_ElzN)/Up_H2N,(Up_HB+Up_RlN+Up_ElzN)/1000)</f>
        <v>4897.00357142857</v>
      </c>
      <c r="E184" s="38">
        <f>IF($B184&lt;=Up_MinPara,1,0)</f>
        <v>0</v>
      </c>
      <c r="F184" s="38">
        <f>IF(AND($B184&gt;=8,$B184&lt;=9),1,0)</f>
        <v>0</v>
      </c>
      <c r="G184" s="37" t="e">
        <f>IF(ABS($B184-Up_MinNorm)&lt;=0.025,Up_YTop,NA())</f>
        <v>#N/A</v>
      </c>
      <c r="H184" s="37" t="e">
        <f>IF(ABS($B184-Up_MinPara)&lt;=0.025,Up_YTop,NA())</f>
        <v>#N/A</v>
      </c>
      <c r="I184" s="37" t="e">
        <f>IF(ABS($B184-Up_SecL)&lt;=0.025,C184,NA())</f>
        <v>#N/A</v>
      </c>
      <c r="J184" s="37" t="e">
        <f>IF(AND(Up_Par0&gt;=0,Up_Par0&lt;=10),IF(ABS($B184-Up_Par0)&lt;=0.025,D184,NA()),NA())</f>
        <v>#N/A</v>
      </c>
      <c r="K184" s="39">
        <f>IF(MOD(81,20)=0,TEXT($B184,"0"),"")</f>
        <v/>
      </c>
    </row>
    <row r="185" spans="2:11" ht="17" customHeight="1">
      <c r="B185" s="36">
        <v>4.1</v>
      </c>
      <c r="C185" s="37">
        <f>IF((Up_Basis="Per kg H2 (kWh)"),$B185+(Up_RlL+Up_ElzL)/Ship_CargoL,($B185*Ship_CargoL+Up_RlL+Up_ElzL)/1000)</f>
        <v>11694.8856</v>
      </c>
      <c r="D185" s="37">
        <f>IF((Up_Basis="Per kg H2 (kWh)"),(Up_HB+Up_RlN+Up_ElzN)/Up_H2N,(Up_HB+Up_RlN+Up_ElzN)/1000)</f>
        <v>4897.00357142857</v>
      </c>
      <c r="E185" s="38">
        <f>IF($B185&lt;=Up_MinPara,1,0)</f>
        <v>0</v>
      </c>
      <c r="F185" s="38">
        <f>IF(AND($B185&gt;=8,$B185&lt;=9),1,0)</f>
        <v>0</v>
      </c>
      <c r="G185" s="37" t="e">
        <f>IF(ABS($B185-Up_MinNorm)&lt;=0.025,Up_YTop,NA())</f>
        <v>#N/A</v>
      </c>
      <c r="H185" s="37" t="e">
        <f>IF(ABS($B185-Up_MinPara)&lt;=0.025,Up_YTop,NA())</f>
        <v>#N/A</v>
      </c>
      <c r="I185" s="37" t="e">
        <f>IF(ABS($B185-Up_SecL)&lt;=0.025,C185,NA())</f>
        <v>#N/A</v>
      </c>
      <c r="J185" s="37" t="e">
        <f>IF(AND(Up_Par0&gt;=0,Up_Par0&lt;=10),IF(ABS($B185-Up_Par0)&lt;=0.025,D185,NA()),NA())</f>
        <v>#N/A</v>
      </c>
      <c r="K185" s="39">
        <f>IF(MOD(82,20)=0,TEXT($B185,"0"),"")</f>
        <v/>
      </c>
    </row>
    <row r="186" spans="2:11" ht="17" customHeight="1">
      <c r="B186" s="36">
        <v>4.15</v>
      </c>
      <c r="C186" s="37">
        <f>IF((Up_Basis="Per kg H2 (kWh)"),$B186+(Up_RlL+Up_ElzL)/Ship_CargoL,($B186*Ship_CargoL+Up_RlL+Up_ElzL)/1000)</f>
        <v>11836.4856</v>
      </c>
      <c r="D186" s="37">
        <f>IF((Up_Basis="Per kg H2 (kWh)"),(Up_HB+Up_RlN+Up_ElzN)/Up_H2N,(Up_HB+Up_RlN+Up_ElzN)/1000)</f>
        <v>4897.00357142857</v>
      </c>
      <c r="E186" s="38">
        <f>IF($B186&lt;=Up_MinPara,1,0)</f>
        <v>0</v>
      </c>
      <c r="F186" s="38">
        <f>IF(AND($B186&gt;=8,$B186&lt;=9),1,0)</f>
        <v>0</v>
      </c>
      <c r="G186" s="37" t="e">
        <f>IF(ABS($B186-Up_MinNorm)&lt;=0.025,Up_YTop,NA())</f>
        <v>#N/A</v>
      </c>
      <c r="H186" s="37" t="e">
        <f>IF(ABS($B186-Up_MinPara)&lt;=0.025,Up_YTop,NA())</f>
        <v>#N/A</v>
      </c>
      <c r="I186" s="37" t="e">
        <f>IF(ABS($B186-Up_SecL)&lt;=0.025,C186,NA())</f>
        <v>#N/A</v>
      </c>
      <c r="J186" s="37" t="e">
        <f>IF(AND(Up_Par0&gt;=0,Up_Par0&lt;=10),IF(ABS($B186-Up_Par0)&lt;=0.025,D186,NA()),NA())</f>
        <v>#N/A</v>
      </c>
      <c r="K186" s="39">
        <f>IF(MOD(83,20)=0,TEXT($B186,"0"),"")</f>
        <v/>
      </c>
    </row>
    <row r="187" spans="2:11" ht="17" customHeight="1">
      <c r="B187" s="36">
        <v>4.2</v>
      </c>
      <c r="C187" s="37">
        <f>IF((Up_Basis="Per kg H2 (kWh)"),$B187+(Up_RlL+Up_ElzL)/Ship_CargoL,($B187*Ship_CargoL+Up_RlL+Up_ElzL)/1000)</f>
        <v>11978.0856</v>
      </c>
      <c r="D187" s="37">
        <f>IF((Up_Basis="Per kg H2 (kWh)"),(Up_HB+Up_RlN+Up_ElzN)/Up_H2N,(Up_HB+Up_RlN+Up_ElzN)/1000)</f>
        <v>4897.00357142857</v>
      </c>
      <c r="E187" s="38">
        <f>IF($B187&lt;=Up_MinPara,1,0)</f>
        <v>0</v>
      </c>
      <c r="F187" s="38">
        <f>IF(AND($B187&gt;=8,$B187&lt;=9),1,0)</f>
        <v>0</v>
      </c>
      <c r="G187" s="37" t="e">
        <f>IF(ABS($B187-Up_MinNorm)&lt;=0.025,Up_YTop,NA())</f>
        <v>#N/A</v>
      </c>
      <c r="H187" s="37" t="e">
        <f>IF(ABS($B187-Up_MinPara)&lt;=0.025,Up_YTop,NA())</f>
        <v>#N/A</v>
      </c>
      <c r="I187" s="37" t="e">
        <f>IF(ABS($B187-Up_SecL)&lt;=0.025,C187,NA())</f>
        <v>#N/A</v>
      </c>
      <c r="J187" s="37" t="e">
        <f>IF(AND(Up_Par0&gt;=0,Up_Par0&lt;=10),IF(ABS($B187-Up_Par0)&lt;=0.025,D187,NA()),NA())</f>
        <v>#N/A</v>
      </c>
      <c r="K187" s="39">
        <f>IF(MOD(84,20)=0,TEXT($B187,"0"),"")</f>
        <v/>
      </c>
    </row>
    <row r="188" spans="2:11" ht="17" customHeight="1">
      <c r="B188" s="36">
        <v>4.25</v>
      </c>
      <c r="C188" s="37">
        <f>IF((Up_Basis="Per kg H2 (kWh)"),$B188+(Up_RlL+Up_ElzL)/Ship_CargoL,($B188*Ship_CargoL+Up_RlL+Up_ElzL)/1000)</f>
        <v>12119.6856</v>
      </c>
      <c r="D188" s="37">
        <f>IF((Up_Basis="Per kg H2 (kWh)"),(Up_HB+Up_RlN+Up_ElzN)/Up_H2N,(Up_HB+Up_RlN+Up_ElzN)/1000)</f>
        <v>4897.00357142857</v>
      </c>
      <c r="E188" s="38">
        <f>IF($B188&lt;=Up_MinPara,1,0)</f>
        <v>0</v>
      </c>
      <c r="F188" s="38">
        <f>IF(AND($B188&gt;=8,$B188&lt;=9),1,0)</f>
        <v>0</v>
      </c>
      <c r="G188" s="37" t="e">
        <f>IF(ABS($B188-Up_MinNorm)&lt;=0.025,Up_YTop,NA())</f>
        <v>#N/A</v>
      </c>
      <c r="H188" s="37" t="e">
        <f>IF(ABS($B188-Up_MinPara)&lt;=0.025,Up_YTop,NA())</f>
        <v>#N/A</v>
      </c>
      <c r="I188" s="37" t="e">
        <f>IF(ABS($B188-Up_SecL)&lt;=0.025,C188,NA())</f>
        <v>#N/A</v>
      </c>
      <c r="J188" s="37" t="e">
        <f>IF(AND(Up_Par0&gt;=0,Up_Par0&lt;=10),IF(ABS($B188-Up_Par0)&lt;=0.025,D188,NA()),NA())</f>
        <v>#N/A</v>
      </c>
      <c r="K188" s="39">
        <f>IF(MOD(85,20)=0,TEXT($B188,"0"),"")</f>
        <v/>
      </c>
    </row>
    <row r="189" spans="2:11" ht="17" customHeight="1">
      <c r="B189" s="36">
        <v>4.3</v>
      </c>
      <c r="C189" s="37">
        <f>IF((Up_Basis="Per kg H2 (kWh)"),$B189+(Up_RlL+Up_ElzL)/Ship_CargoL,($B189*Ship_CargoL+Up_RlL+Up_ElzL)/1000)</f>
        <v>12261.2856</v>
      </c>
      <c r="D189" s="37">
        <f>IF((Up_Basis="Per kg H2 (kWh)"),(Up_HB+Up_RlN+Up_ElzN)/Up_H2N,(Up_HB+Up_RlN+Up_ElzN)/1000)</f>
        <v>4897.00357142857</v>
      </c>
      <c r="E189" s="38">
        <f>IF($B189&lt;=Up_MinPara,1,0)</f>
        <v>0</v>
      </c>
      <c r="F189" s="38">
        <f>IF(AND($B189&gt;=8,$B189&lt;=9),1,0)</f>
        <v>0</v>
      </c>
      <c r="G189" s="37" t="e">
        <f>IF(ABS($B189-Up_MinNorm)&lt;=0.025,Up_YTop,NA())</f>
        <v>#N/A</v>
      </c>
      <c r="H189" s="37" t="e">
        <f>IF(ABS($B189-Up_MinPara)&lt;=0.025,Up_YTop,NA())</f>
        <v>#N/A</v>
      </c>
      <c r="I189" s="37" t="e">
        <f>IF(ABS($B189-Up_SecL)&lt;=0.025,C189,NA())</f>
        <v>#N/A</v>
      </c>
      <c r="J189" s="37" t="e">
        <f>IF(AND(Up_Par0&gt;=0,Up_Par0&lt;=10),IF(ABS($B189-Up_Par0)&lt;=0.025,D189,NA()),NA())</f>
        <v>#N/A</v>
      </c>
      <c r="K189" s="39">
        <f>IF(MOD(86,20)=0,TEXT($B189,"0"),"")</f>
        <v/>
      </c>
    </row>
    <row r="190" spans="2:11" ht="17" customHeight="1">
      <c r="B190" s="36">
        <v>4.35</v>
      </c>
      <c r="C190" s="37">
        <f>IF((Up_Basis="Per kg H2 (kWh)"),$B190+(Up_RlL+Up_ElzL)/Ship_CargoL,($B190*Ship_CargoL+Up_RlL+Up_ElzL)/1000)</f>
        <v>12402.8856</v>
      </c>
      <c r="D190" s="37">
        <f>IF((Up_Basis="Per kg H2 (kWh)"),(Up_HB+Up_RlN+Up_ElzN)/Up_H2N,(Up_HB+Up_RlN+Up_ElzN)/1000)</f>
        <v>4897.00357142857</v>
      </c>
      <c r="E190" s="38">
        <f>IF($B190&lt;=Up_MinPara,1,0)</f>
        <v>0</v>
      </c>
      <c r="F190" s="38">
        <f>IF(AND($B190&gt;=8,$B190&lt;=9),1,0)</f>
        <v>0</v>
      </c>
      <c r="G190" s="37" t="e">
        <f>IF(ABS($B190-Up_MinNorm)&lt;=0.025,Up_YTop,NA())</f>
        <v>#N/A</v>
      </c>
      <c r="H190" s="37" t="e">
        <f>IF(ABS($B190-Up_MinPara)&lt;=0.025,Up_YTop,NA())</f>
        <v>#N/A</v>
      </c>
      <c r="I190" s="37" t="e">
        <f>IF(ABS($B190-Up_SecL)&lt;=0.025,C190,NA())</f>
        <v>#N/A</v>
      </c>
      <c r="J190" s="37" t="e">
        <f>IF(AND(Up_Par0&gt;=0,Up_Par0&lt;=10),IF(ABS($B190-Up_Par0)&lt;=0.025,D190,NA()),NA())</f>
        <v>#N/A</v>
      </c>
      <c r="K190" s="39">
        <f>IF(MOD(87,20)=0,TEXT($B190,"0"),"")</f>
        <v/>
      </c>
    </row>
    <row r="191" spans="2:11" ht="17" customHeight="1">
      <c r="B191" s="36">
        <v>4.4</v>
      </c>
      <c r="C191" s="37">
        <f>IF((Up_Basis="Per kg H2 (kWh)"),$B191+(Up_RlL+Up_ElzL)/Ship_CargoL,($B191*Ship_CargoL+Up_RlL+Up_ElzL)/1000)</f>
        <v>12544.4856</v>
      </c>
      <c r="D191" s="37">
        <f>IF((Up_Basis="Per kg H2 (kWh)"),(Up_HB+Up_RlN+Up_ElzN)/Up_H2N,(Up_HB+Up_RlN+Up_ElzN)/1000)</f>
        <v>4897.00357142857</v>
      </c>
      <c r="E191" s="38">
        <f>IF($B191&lt;=Up_MinPara,1,0)</f>
        <v>0</v>
      </c>
      <c r="F191" s="38">
        <f>IF(AND($B191&gt;=8,$B191&lt;=9),1,0)</f>
        <v>0</v>
      </c>
      <c r="G191" s="37" t="e">
        <f>IF(ABS($B191-Up_MinNorm)&lt;=0.025,Up_YTop,NA())</f>
        <v>#N/A</v>
      </c>
      <c r="H191" s="37" t="e">
        <f>IF(ABS($B191-Up_MinPara)&lt;=0.025,Up_YTop,NA())</f>
        <v>#N/A</v>
      </c>
      <c r="I191" s="37" t="e">
        <f>IF(ABS($B191-Up_SecL)&lt;=0.025,C191,NA())</f>
        <v>#N/A</v>
      </c>
      <c r="J191" s="37" t="e">
        <f>IF(AND(Up_Par0&gt;=0,Up_Par0&lt;=10),IF(ABS($B191-Up_Par0)&lt;=0.025,D191,NA()),NA())</f>
        <v>#N/A</v>
      </c>
      <c r="K191" s="39">
        <f>IF(MOD(88,20)=0,TEXT($B191,"0"),"")</f>
        <v/>
      </c>
    </row>
    <row r="192" spans="2:11" ht="17" customHeight="1">
      <c r="B192" s="36">
        <v>4.45</v>
      </c>
      <c r="C192" s="37">
        <f>IF((Up_Basis="Per kg H2 (kWh)"),$B192+(Up_RlL+Up_ElzL)/Ship_CargoL,($B192*Ship_CargoL+Up_RlL+Up_ElzL)/1000)</f>
        <v>12686.0856</v>
      </c>
      <c r="D192" s="37">
        <f>IF((Up_Basis="Per kg H2 (kWh)"),(Up_HB+Up_RlN+Up_ElzN)/Up_H2N,(Up_HB+Up_RlN+Up_ElzN)/1000)</f>
        <v>4897.00357142857</v>
      </c>
      <c r="E192" s="38">
        <f>IF($B192&lt;=Up_MinPara,1,0)</f>
        <v>0</v>
      </c>
      <c r="F192" s="38">
        <f>IF(AND($B192&gt;=8,$B192&lt;=9),1,0)</f>
        <v>0</v>
      </c>
      <c r="G192" s="37" t="e">
        <f>IF(ABS($B192-Up_MinNorm)&lt;=0.025,Up_YTop,NA())</f>
        <v>#N/A</v>
      </c>
      <c r="H192" s="37" t="e">
        <f>IF(ABS($B192-Up_MinPara)&lt;=0.025,Up_YTop,NA())</f>
        <v>#N/A</v>
      </c>
      <c r="I192" s="37" t="e">
        <f>IF(ABS($B192-Up_SecL)&lt;=0.025,C192,NA())</f>
        <v>#N/A</v>
      </c>
      <c r="J192" s="37" t="e">
        <f>IF(AND(Up_Par0&gt;=0,Up_Par0&lt;=10),IF(ABS($B192-Up_Par0)&lt;=0.025,D192,NA()),NA())</f>
        <v>#N/A</v>
      </c>
      <c r="K192" s="39">
        <f>IF(MOD(89,20)=0,TEXT($B192,"0"),"")</f>
        <v/>
      </c>
    </row>
    <row r="193" spans="2:11" ht="17" customHeight="1">
      <c r="B193" s="36">
        <v>4.5</v>
      </c>
      <c r="C193" s="37">
        <f>IF((Up_Basis="Per kg H2 (kWh)"),$B193+(Up_RlL+Up_ElzL)/Ship_CargoL,($B193*Ship_CargoL+Up_RlL+Up_ElzL)/1000)</f>
        <v>12827.6856</v>
      </c>
      <c r="D193" s="37">
        <f>IF((Up_Basis="Per kg H2 (kWh)"),(Up_HB+Up_RlN+Up_ElzN)/Up_H2N,(Up_HB+Up_RlN+Up_ElzN)/1000)</f>
        <v>4897.00357142857</v>
      </c>
      <c r="E193" s="38">
        <f>IF($B193&lt;=Up_MinPara,1,0)</f>
        <v>0</v>
      </c>
      <c r="F193" s="38">
        <f>IF(AND($B193&gt;=8,$B193&lt;=9),1,0)</f>
        <v>0</v>
      </c>
      <c r="G193" s="37" t="e">
        <f>IF(ABS($B193-Up_MinNorm)&lt;=0.025,Up_YTop,NA())</f>
        <v>#N/A</v>
      </c>
      <c r="H193" s="37" t="e">
        <f>IF(ABS($B193-Up_MinPara)&lt;=0.025,Up_YTop,NA())</f>
        <v>#N/A</v>
      </c>
      <c r="I193" s="37" t="e">
        <f>IF(ABS($B193-Up_SecL)&lt;=0.025,C193,NA())</f>
        <v>#N/A</v>
      </c>
      <c r="J193" s="37" t="e">
        <f>IF(AND(Up_Par0&gt;=0,Up_Par0&lt;=10),IF(ABS($B193-Up_Par0)&lt;=0.025,D193,NA()),NA())</f>
        <v>#N/A</v>
      </c>
      <c r="K193" s="39">
        <f>IF(MOD(90,20)=0,TEXT($B193,"0"),"")</f>
        <v/>
      </c>
    </row>
    <row r="194" spans="2:11" ht="17" customHeight="1">
      <c r="B194" s="36">
        <v>4.55</v>
      </c>
      <c r="C194" s="37">
        <f>IF((Up_Basis="Per kg H2 (kWh)"),$B194+(Up_RlL+Up_ElzL)/Ship_CargoL,($B194*Ship_CargoL+Up_RlL+Up_ElzL)/1000)</f>
        <v>12969.2856</v>
      </c>
      <c r="D194" s="37">
        <f>IF((Up_Basis="Per kg H2 (kWh)"),(Up_HB+Up_RlN+Up_ElzN)/Up_H2N,(Up_HB+Up_RlN+Up_ElzN)/1000)</f>
        <v>4897.00357142857</v>
      </c>
      <c r="E194" s="38">
        <f>IF($B194&lt;=Up_MinPara,1,0)</f>
        <v>0</v>
      </c>
      <c r="F194" s="38">
        <f>IF(AND($B194&gt;=8,$B194&lt;=9),1,0)</f>
        <v>0</v>
      </c>
      <c r="G194" s="37" t="e">
        <f>IF(ABS($B194-Up_MinNorm)&lt;=0.025,Up_YTop,NA())</f>
        <v>#N/A</v>
      </c>
      <c r="H194" s="37" t="e">
        <f>IF(ABS($B194-Up_MinPara)&lt;=0.025,Up_YTop,NA())</f>
        <v>#N/A</v>
      </c>
      <c r="I194" s="37" t="e">
        <f>IF(ABS($B194-Up_SecL)&lt;=0.025,C194,NA())</f>
        <v>#N/A</v>
      </c>
      <c r="J194" s="37" t="e">
        <f>IF(AND(Up_Par0&gt;=0,Up_Par0&lt;=10),IF(ABS($B194-Up_Par0)&lt;=0.025,D194,NA()),NA())</f>
        <v>#N/A</v>
      </c>
      <c r="K194" s="39">
        <f>IF(MOD(91,20)=0,TEXT($B194,"0"),"")</f>
        <v/>
      </c>
    </row>
    <row r="195" spans="2:11" ht="17" customHeight="1">
      <c r="B195" s="36">
        <v>4.6</v>
      </c>
      <c r="C195" s="37">
        <f>IF((Up_Basis="Per kg H2 (kWh)"),$B195+(Up_RlL+Up_ElzL)/Ship_CargoL,($B195*Ship_CargoL+Up_RlL+Up_ElzL)/1000)</f>
        <v>13110.8856</v>
      </c>
      <c r="D195" s="37">
        <f>IF((Up_Basis="Per kg H2 (kWh)"),(Up_HB+Up_RlN+Up_ElzN)/Up_H2N,(Up_HB+Up_RlN+Up_ElzN)/1000)</f>
        <v>4897.00357142857</v>
      </c>
      <c r="E195" s="38">
        <f>IF($B195&lt;=Up_MinPara,1,0)</f>
        <v>0</v>
      </c>
      <c r="F195" s="38">
        <f>IF(AND($B195&gt;=8,$B195&lt;=9),1,0)</f>
        <v>0</v>
      </c>
      <c r="G195" s="37" t="e">
        <f>IF(ABS($B195-Up_MinNorm)&lt;=0.025,Up_YTop,NA())</f>
        <v>#N/A</v>
      </c>
      <c r="H195" s="37" t="e">
        <f>IF(ABS($B195-Up_MinPara)&lt;=0.025,Up_YTop,NA())</f>
        <v>#N/A</v>
      </c>
      <c r="I195" s="37" t="e">
        <f>IF(ABS($B195-Up_SecL)&lt;=0.025,C195,NA())</f>
        <v>#N/A</v>
      </c>
      <c r="J195" s="37" t="e">
        <f>IF(AND(Up_Par0&gt;=0,Up_Par0&lt;=10),IF(ABS($B195-Up_Par0)&lt;=0.025,D195,NA()),NA())</f>
        <v>#N/A</v>
      </c>
      <c r="K195" s="39">
        <f>IF(MOD(92,20)=0,TEXT($B195,"0"),"")</f>
        <v/>
      </c>
    </row>
    <row r="196" spans="2:11" ht="17" customHeight="1">
      <c r="B196" s="36">
        <v>4.65</v>
      </c>
      <c r="C196" s="37">
        <f>IF((Up_Basis="Per kg H2 (kWh)"),$B196+(Up_RlL+Up_ElzL)/Ship_CargoL,($B196*Ship_CargoL+Up_RlL+Up_ElzL)/1000)</f>
        <v>13252.4856</v>
      </c>
      <c r="D196" s="37">
        <f>IF((Up_Basis="Per kg H2 (kWh)"),(Up_HB+Up_RlN+Up_ElzN)/Up_H2N,(Up_HB+Up_RlN+Up_ElzN)/1000)</f>
        <v>4897.00357142857</v>
      </c>
      <c r="E196" s="38">
        <f>IF($B196&lt;=Up_MinPara,1,0)</f>
        <v>0</v>
      </c>
      <c r="F196" s="38">
        <f>IF(AND($B196&gt;=8,$B196&lt;=9),1,0)</f>
        <v>0</v>
      </c>
      <c r="G196" s="37" t="e">
        <f>IF(ABS($B196-Up_MinNorm)&lt;=0.025,Up_YTop,NA())</f>
        <v>#N/A</v>
      </c>
      <c r="H196" s="37" t="e">
        <f>IF(ABS($B196-Up_MinPara)&lt;=0.025,Up_YTop,NA())</f>
        <v>#N/A</v>
      </c>
      <c r="I196" s="37" t="e">
        <f>IF(ABS($B196-Up_SecL)&lt;=0.025,C196,NA())</f>
        <v>#N/A</v>
      </c>
      <c r="J196" s="37" t="e">
        <f>IF(AND(Up_Par0&gt;=0,Up_Par0&lt;=10),IF(ABS($B196-Up_Par0)&lt;=0.025,D196,NA()),NA())</f>
        <v>#N/A</v>
      </c>
      <c r="K196" s="39">
        <f>IF(MOD(93,20)=0,TEXT($B196,"0"),"")</f>
        <v/>
      </c>
    </row>
    <row r="197" spans="2:11" ht="17" customHeight="1">
      <c r="B197" s="36">
        <v>4.7</v>
      </c>
      <c r="C197" s="37">
        <f>IF((Up_Basis="Per kg H2 (kWh)"),$B197+(Up_RlL+Up_ElzL)/Ship_CargoL,($B197*Ship_CargoL+Up_RlL+Up_ElzL)/1000)</f>
        <v>13394.0856</v>
      </c>
      <c r="D197" s="37">
        <f>IF((Up_Basis="Per kg H2 (kWh)"),(Up_HB+Up_RlN+Up_ElzN)/Up_H2N,(Up_HB+Up_RlN+Up_ElzN)/1000)</f>
        <v>4897.00357142857</v>
      </c>
      <c r="E197" s="38">
        <f>IF($B197&lt;=Up_MinPara,1,0)</f>
        <v>0</v>
      </c>
      <c r="F197" s="38">
        <f>IF(AND($B197&gt;=8,$B197&lt;=9),1,0)</f>
        <v>0</v>
      </c>
      <c r="G197" s="37" t="e">
        <f>IF(ABS($B197-Up_MinNorm)&lt;=0.025,Up_YTop,NA())</f>
        <v>#N/A</v>
      </c>
      <c r="H197" s="37" t="e">
        <f>IF(ABS($B197-Up_MinPara)&lt;=0.025,Up_YTop,NA())</f>
        <v>#N/A</v>
      </c>
      <c r="I197" s="37" t="e">
        <f>IF(ABS($B197-Up_SecL)&lt;=0.025,C197,NA())</f>
        <v>#N/A</v>
      </c>
      <c r="J197" s="37" t="e">
        <f>IF(AND(Up_Par0&gt;=0,Up_Par0&lt;=10),IF(ABS($B197-Up_Par0)&lt;=0.025,D197,NA()),NA())</f>
        <v>#N/A</v>
      </c>
      <c r="K197" s="39">
        <f>IF(MOD(94,20)=0,TEXT($B197,"0"),"")</f>
        <v/>
      </c>
    </row>
    <row r="198" spans="2:11" ht="17" customHeight="1">
      <c r="B198" s="36">
        <v>4.75</v>
      </c>
      <c r="C198" s="37">
        <f>IF((Up_Basis="Per kg H2 (kWh)"),$B198+(Up_RlL+Up_ElzL)/Ship_CargoL,($B198*Ship_CargoL+Up_RlL+Up_ElzL)/1000)</f>
        <v>13535.6856</v>
      </c>
      <c r="D198" s="37">
        <f>IF((Up_Basis="Per kg H2 (kWh)"),(Up_HB+Up_RlN+Up_ElzN)/Up_H2N,(Up_HB+Up_RlN+Up_ElzN)/1000)</f>
        <v>4897.00357142857</v>
      </c>
      <c r="E198" s="38">
        <f>IF($B198&lt;=Up_MinPara,1,0)</f>
        <v>0</v>
      </c>
      <c r="F198" s="38">
        <f>IF(AND($B198&gt;=8,$B198&lt;=9),1,0)</f>
        <v>0</v>
      </c>
      <c r="G198" s="37" t="e">
        <f>IF(ABS($B198-Up_MinNorm)&lt;=0.025,Up_YTop,NA())</f>
        <v>#N/A</v>
      </c>
      <c r="H198" s="37" t="e">
        <f>IF(ABS($B198-Up_MinPara)&lt;=0.025,Up_YTop,NA())</f>
        <v>#N/A</v>
      </c>
      <c r="I198" s="37" t="e">
        <f>IF(ABS($B198-Up_SecL)&lt;=0.025,C198,NA())</f>
        <v>#N/A</v>
      </c>
      <c r="J198" s="37" t="e">
        <f>IF(AND(Up_Par0&gt;=0,Up_Par0&lt;=10),IF(ABS($B198-Up_Par0)&lt;=0.025,D198,NA()),NA())</f>
        <v>#N/A</v>
      </c>
      <c r="K198" s="39">
        <f>IF(MOD(95,20)=0,TEXT($B198,"0"),"")</f>
        <v/>
      </c>
    </row>
    <row r="199" spans="2:11" ht="17" customHeight="1">
      <c r="B199" s="36">
        <v>4.8</v>
      </c>
      <c r="C199" s="37">
        <f>IF((Up_Basis="Per kg H2 (kWh)"),$B199+(Up_RlL+Up_ElzL)/Ship_CargoL,($B199*Ship_CargoL+Up_RlL+Up_ElzL)/1000)</f>
        <v>13677.2856</v>
      </c>
      <c r="D199" s="37">
        <f>IF((Up_Basis="Per kg H2 (kWh)"),(Up_HB+Up_RlN+Up_ElzN)/Up_H2N,(Up_HB+Up_RlN+Up_ElzN)/1000)</f>
        <v>4897.00357142857</v>
      </c>
      <c r="E199" s="38">
        <f>IF($B199&lt;=Up_MinPara,1,0)</f>
        <v>0</v>
      </c>
      <c r="F199" s="38">
        <f>IF(AND($B199&gt;=8,$B199&lt;=9),1,0)</f>
        <v>0</v>
      </c>
      <c r="G199" s="37" t="e">
        <f>IF(ABS($B199-Up_MinNorm)&lt;=0.025,Up_YTop,NA())</f>
        <v>#N/A</v>
      </c>
      <c r="H199" s="37" t="e">
        <f>IF(ABS($B199-Up_MinPara)&lt;=0.025,Up_YTop,NA())</f>
        <v>#N/A</v>
      </c>
      <c r="I199" s="37" t="e">
        <f>IF(ABS($B199-Up_SecL)&lt;=0.025,C199,NA())</f>
        <v>#N/A</v>
      </c>
      <c r="J199" s="37" t="e">
        <f>IF(AND(Up_Par0&gt;=0,Up_Par0&lt;=10),IF(ABS($B199-Up_Par0)&lt;=0.025,D199,NA()),NA())</f>
        <v>#N/A</v>
      </c>
      <c r="K199" s="39">
        <f>IF(MOD(96,20)=0,TEXT($B199,"0"),"")</f>
        <v/>
      </c>
    </row>
    <row r="200" spans="2:11" ht="17" customHeight="1">
      <c r="B200" s="36">
        <v>4.85</v>
      </c>
      <c r="C200" s="37">
        <f>IF((Up_Basis="Per kg H2 (kWh)"),$B200+(Up_RlL+Up_ElzL)/Ship_CargoL,($B200*Ship_CargoL+Up_RlL+Up_ElzL)/1000)</f>
        <v>13818.8856</v>
      </c>
      <c r="D200" s="37">
        <f>IF((Up_Basis="Per kg H2 (kWh)"),(Up_HB+Up_RlN+Up_ElzN)/Up_H2N,(Up_HB+Up_RlN+Up_ElzN)/1000)</f>
        <v>4897.00357142857</v>
      </c>
      <c r="E200" s="38">
        <f>IF($B200&lt;=Up_MinPara,1,0)</f>
        <v>0</v>
      </c>
      <c r="F200" s="38">
        <f>IF(AND($B200&gt;=8,$B200&lt;=9),1,0)</f>
        <v>0</v>
      </c>
      <c r="G200" s="37" t="e">
        <f>IF(ABS($B200-Up_MinNorm)&lt;=0.025,Up_YTop,NA())</f>
        <v>#N/A</v>
      </c>
      <c r="H200" s="37" t="e">
        <f>IF(ABS($B200-Up_MinPara)&lt;=0.025,Up_YTop,NA())</f>
        <v>#N/A</v>
      </c>
      <c r="I200" s="37" t="e">
        <f>IF(ABS($B200-Up_SecL)&lt;=0.025,C200,NA())</f>
        <v>#N/A</v>
      </c>
      <c r="J200" s="37" t="e">
        <f>IF(AND(Up_Par0&gt;=0,Up_Par0&lt;=10),IF(ABS($B200-Up_Par0)&lt;=0.025,D200,NA()),NA())</f>
        <v>#N/A</v>
      </c>
      <c r="K200" s="39">
        <f>IF(MOD(97,20)=0,TEXT($B200,"0"),"")</f>
        <v/>
      </c>
    </row>
    <row r="201" spans="2:11" ht="17" customHeight="1">
      <c r="B201" s="36">
        <v>4.9</v>
      </c>
      <c r="C201" s="37">
        <f>IF((Up_Basis="Per kg H2 (kWh)"),$B201+(Up_RlL+Up_ElzL)/Ship_CargoL,($B201*Ship_CargoL+Up_RlL+Up_ElzL)/1000)</f>
        <v>13960.4856</v>
      </c>
      <c r="D201" s="37">
        <f>IF((Up_Basis="Per kg H2 (kWh)"),(Up_HB+Up_RlN+Up_ElzN)/Up_H2N,(Up_HB+Up_RlN+Up_ElzN)/1000)</f>
        <v>4897.00357142857</v>
      </c>
      <c r="E201" s="38">
        <f>IF($B201&lt;=Up_MinPara,1,0)</f>
        <v>0</v>
      </c>
      <c r="F201" s="38">
        <f>IF(AND($B201&gt;=8,$B201&lt;=9),1,0)</f>
        <v>0</v>
      </c>
      <c r="G201" s="37" t="e">
        <f>IF(ABS($B201-Up_MinNorm)&lt;=0.025,Up_YTop,NA())</f>
        <v>#N/A</v>
      </c>
      <c r="H201" s="37" t="e">
        <f>IF(ABS($B201-Up_MinPara)&lt;=0.025,Up_YTop,NA())</f>
        <v>#N/A</v>
      </c>
      <c r="I201" s="37" t="e">
        <f>IF(ABS($B201-Up_SecL)&lt;=0.025,C201,NA())</f>
        <v>#N/A</v>
      </c>
      <c r="J201" s="37" t="e">
        <f>IF(AND(Up_Par0&gt;=0,Up_Par0&lt;=10),IF(ABS($B201-Up_Par0)&lt;=0.025,D201,NA()),NA())</f>
        <v>#N/A</v>
      </c>
      <c r="K201" s="39">
        <f>IF(MOD(98,20)=0,TEXT($B201,"0"),"")</f>
        <v/>
      </c>
    </row>
    <row r="202" spans="2:11" ht="17" customHeight="1">
      <c r="B202" s="36">
        <v>4.95</v>
      </c>
      <c r="C202" s="37">
        <f>IF((Up_Basis="Per kg H2 (kWh)"),$B202+(Up_RlL+Up_ElzL)/Ship_CargoL,($B202*Ship_CargoL+Up_RlL+Up_ElzL)/1000)</f>
        <v>14102.0856</v>
      </c>
      <c r="D202" s="37">
        <f>IF((Up_Basis="Per kg H2 (kWh)"),(Up_HB+Up_RlN+Up_ElzN)/Up_H2N,(Up_HB+Up_RlN+Up_ElzN)/1000)</f>
        <v>4897.00357142857</v>
      </c>
      <c r="E202" s="38">
        <f>IF($B202&lt;=Up_MinPara,1,0)</f>
        <v>0</v>
      </c>
      <c r="F202" s="38">
        <f>IF(AND($B202&gt;=8,$B202&lt;=9),1,0)</f>
        <v>0</v>
      </c>
      <c r="G202" s="37" t="e">
        <f>IF(ABS($B202-Up_MinNorm)&lt;=0.025,Up_YTop,NA())</f>
        <v>#N/A</v>
      </c>
      <c r="H202" s="37" t="e">
        <f>IF(ABS($B202-Up_MinPara)&lt;=0.025,Up_YTop,NA())</f>
        <v>#N/A</v>
      </c>
      <c r="I202" s="37" t="e">
        <f>IF(ABS($B202-Up_SecL)&lt;=0.025,C202,NA())</f>
        <v>#N/A</v>
      </c>
      <c r="J202" s="37" t="e">
        <f>IF(AND(Up_Par0&gt;=0,Up_Par0&lt;=10),IF(ABS($B202-Up_Par0)&lt;=0.025,D202,NA()),NA())</f>
        <v>#N/A</v>
      </c>
      <c r="K202" s="39">
        <f>IF(MOD(99,20)=0,TEXT($B202,"0"),"")</f>
        <v/>
      </c>
    </row>
    <row r="203" spans="2:11" ht="17" customHeight="1">
      <c r="B203" s="36">
        <v>5</v>
      </c>
      <c r="C203" s="37">
        <f>IF((Up_Basis="Per kg H2 (kWh)"),$B203+(Up_RlL+Up_ElzL)/Ship_CargoL,($B203*Ship_CargoL+Up_RlL+Up_ElzL)/1000)</f>
        <v>14243.6856</v>
      </c>
      <c r="D203" s="37">
        <f>IF((Up_Basis="Per kg H2 (kWh)"),(Up_HB+Up_RlN+Up_ElzN)/Up_H2N,(Up_HB+Up_RlN+Up_ElzN)/1000)</f>
        <v>4897.00357142857</v>
      </c>
      <c r="E203" s="38">
        <f>IF($B203&lt;=Up_MinPara,1,0)</f>
        <v>0</v>
      </c>
      <c r="F203" s="38">
        <f>IF(AND($B203&gt;=8,$B203&lt;=9),1,0)</f>
        <v>0</v>
      </c>
      <c r="G203" s="37" t="e">
        <f>IF(ABS($B203-Up_MinNorm)&lt;=0.025,Up_YTop,NA())</f>
        <v>#N/A</v>
      </c>
      <c r="H203" s="37" t="e">
        <f>IF(ABS($B203-Up_MinPara)&lt;=0.025,Up_YTop,NA())</f>
        <v>#N/A</v>
      </c>
      <c r="I203" s="37" t="e">
        <f>IF(ABS($B203-Up_SecL)&lt;=0.025,C203,NA())</f>
        <v>#N/A</v>
      </c>
      <c r="J203" s="37" t="e">
        <f>IF(AND(Up_Par0&gt;=0,Up_Par0&lt;=10),IF(ABS($B203-Up_Par0)&lt;=0.025,D203,NA()),NA())</f>
        <v>#N/A</v>
      </c>
      <c r="K203" s="39" t="str">
        <f>IF(MOD(100,20)=0,TEXT($B203,"0"),"")</f>
        <v>5</v>
      </c>
    </row>
    <row r="204" spans="2:11" ht="17" customHeight="1">
      <c r="B204" s="36">
        <v>5.05</v>
      </c>
      <c r="C204" s="37">
        <f>IF((Up_Basis="Per kg H2 (kWh)"),$B204+(Up_RlL+Up_ElzL)/Ship_CargoL,($B204*Ship_CargoL+Up_RlL+Up_ElzL)/1000)</f>
        <v>14385.2856</v>
      </c>
      <c r="D204" s="37">
        <f>IF((Up_Basis="Per kg H2 (kWh)"),(Up_HB+Up_RlN+Up_ElzN)/Up_H2N,(Up_HB+Up_RlN+Up_ElzN)/1000)</f>
        <v>4897.00357142857</v>
      </c>
      <c r="E204" s="38">
        <f>IF($B204&lt;=Up_MinPara,1,0)</f>
        <v>0</v>
      </c>
      <c r="F204" s="38">
        <f>IF(AND($B204&gt;=8,$B204&lt;=9),1,0)</f>
        <v>0</v>
      </c>
      <c r="G204" s="37" t="e">
        <f>IF(ABS($B204-Up_MinNorm)&lt;=0.025,Up_YTop,NA())</f>
        <v>#N/A</v>
      </c>
      <c r="H204" s="37" t="e">
        <f>IF(ABS($B204-Up_MinPara)&lt;=0.025,Up_YTop,NA())</f>
        <v>#N/A</v>
      </c>
      <c r="I204" s="37" t="e">
        <f>IF(ABS($B204-Up_SecL)&lt;=0.025,C204,NA())</f>
        <v>#N/A</v>
      </c>
      <c r="J204" s="37" t="e">
        <f>IF(AND(Up_Par0&gt;=0,Up_Par0&lt;=10),IF(ABS($B204-Up_Par0)&lt;=0.025,D204,NA()),NA())</f>
        <v>#N/A</v>
      </c>
      <c r="K204" s="39">
        <f>IF(MOD(101,20)=0,TEXT($B204,"0"),"")</f>
        <v/>
      </c>
    </row>
    <row r="205" spans="2:11" ht="17" customHeight="1">
      <c r="B205" s="36">
        <v>5.1</v>
      </c>
      <c r="C205" s="37">
        <f>IF((Up_Basis="Per kg H2 (kWh)"),$B205+(Up_RlL+Up_ElzL)/Ship_CargoL,($B205*Ship_CargoL+Up_RlL+Up_ElzL)/1000)</f>
        <v>14526.8856</v>
      </c>
      <c r="D205" s="37">
        <f>IF((Up_Basis="Per kg H2 (kWh)"),(Up_HB+Up_RlN+Up_ElzN)/Up_H2N,(Up_HB+Up_RlN+Up_ElzN)/1000)</f>
        <v>4897.00357142857</v>
      </c>
      <c r="E205" s="38">
        <f>IF($B205&lt;=Up_MinPara,1,0)</f>
        <v>0</v>
      </c>
      <c r="F205" s="38">
        <f>IF(AND($B205&gt;=8,$B205&lt;=9),1,0)</f>
        <v>0</v>
      </c>
      <c r="G205" s="37" t="e">
        <f>IF(ABS($B205-Up_MinNorm)&lt;=0.025,Up_YTop,NA())</f>
        <v>#N/A</v>
      </c>
      <c r="H205" s="37" t="e">
        <f>IF(ABS($B205-Up_MinPara)&lt;=0.025,Up_YTop,NA())</f>
        <v>#N/A</v>
      </c>
      <c r="I205" s="37" t="e">
        <f>IF(ABS($B205-Up_SecL)&lt;=0.025,C205,NA())</f>
        <v>#N/A</v>
      </c>
      <c r="J205" s="37" t="e">
        <f>IF(AND(Up_Par0&gt;=0,Up_Par0&lt;=10),IF(ABS($B205-Up_Par0)&lt;=0.025,D205,NA()),NA())</f>
        <v>#N/A</v>
      </c>
      <c r="K205" s="39">
        <f>IF(MOD(102,20)=0,TEXT($B205,"0"),"")</f>
        <v/>
      </c>
    </row>
    <row r="206" spans="2:11" ht="17" customHeight="1">
      <c r="B206" s="36">
        <v>5.15</v>
      </c>
      <c r="C206" s="37">
        <f>IF((Up_Basis="Per kg H2 (kWh)"),$B206+(Up_RlL+Up_ElzL)/Ship_CargoL,($B206*Ship_CargoL+Up_RlL+Up_ElzL)/1000)</f>
        <v>14668.4856</v>
      </c>
      <c r="D206" s="37">
        <f>IF((Up_Basis="Per kg H2 (kWh)"),(Up_HB+Up_RlN+Up_ElzN)/Up_H2N,(Up_HB+Up_RlN+Up_ElzN)/1000)</f>
        <v>4897.00357142857</v>
      </c>
      <c r="E206" s="38">
        <f>IF($B206&lt;=Up_MinPara,1,0)</f>
        <v>0</v>
      </c>
      <c r="F206" s="38">
        <f>IF(AND($B206&gt;=8,$B206&lt;=9),1,0)</f>
        <v>0</v>
      </c>
      <c r="G206" s="37" t="e">
        <f>IF(ABS($B206-Up_MinNorm)&lt;=0.025,Up_YTop,NA())</f>
        <v>#N/A</v>
      </c>
      <c r="H206" s="37" t="e">
        <f>IF(ABS($B206-Up_MinPara)&lt;=0.025,Up_YTop,NA())</f>
        <v>#N/A</v>
      </c>
      <c r="I206" s="37" t="e">
        <f>IF(ABS($B206-Up_SecL)&lt;=0.025,C206,NA())</f>
        <v>#N/A</v>
      </c>
      <c r="J206" s="37" t="e">
        <f>IF(AND(Up_Par0&gt;=0,Up_Par0&lt;=10),IF(ABS($B206-Up_Par0)&lt;=0.025,D206,NA()),NA())</f>
        <v>#N/A</v>
      </c>
      <c r="K206" s="39">
        <f>IF(MOD(103,20)=0,TEXT($B206,"0"),"")</f>
        <v/>
      </c>
    </row>
    <row r="207" spans="2:11" ht="17" customHeight="1">
      <c r="B207" s="36">
        <v>5.2</v>
      </c>
      <c r="C207" s="37">
        <f>IF((Up_Basis="Per kg H2 (kWh)"),$B207+(Up_RlL+Up_ElzL)/Ship_CargoL,($B207*Ship_CargoL+Up_RlL+Up_ElzL)/1000)</f>
        <v>14810.0856</v>
      </c>
      <c r="D207" s="37">
        <f>IF((Up_Basis="Per kg H2 (kWh)"),(Up_HB+Up_RlN+Up_ElzN)/Up_H2N,(Up_HB+Up_RlN+Up_ElzN)/1000)</f>
        <v>4897.00357142857</v>
      </c>
      <c r="E207" s="38">
        <f>IF($B207&lt;=Up_MinPara,1,0)</f>
        <v>0</v>
      </c>
      <c r="F207" s="38">
        <f>IF(AND($B207&gt;=8,$B207&lt;=9),1,0)</f>
        <v>0</v>
      </c>
      <c r="G207" s="37" t="e">
        <f>IF(ABS($B207-Up_MinNorm)&lt;=0.025,Up_YTop,NA())</f>
        <v>#N/A</v>
      </c>
      <c r="H207" s="37" t="e">
        <f>IF(ABS($B207-Up_MinPara)&lt;=0.025,Up_YTop,NA())</f>
        <v>#N/A</v>
      </c>
      <c r="I207" s="37" t="e">
        <f>IF(ABS($B207-Up_SecL)&lt;=0.025,C207,NA())</f>
        <v>#N/A</v>
      </c>
      <c r="J207" s="37" t="e">
        <f>IF(AND(Up_Par0&gt;=0,Up_Par0&lt;=10),IF(ABS($B207-Up_Par0)&lt;=0.025,D207,NA()),NA())</f>
        <v>#N/A</v>
      </c>
      <c r="K207" s="39">
        <f>IF(MOD(104,20)=0,TEXT($B207,"0"),"")</f>
        <v/>
      </c>
    </row>
    <row r="208" spans="2:11" ht="17" customHeight="1">
      <c r="B208" s="36">
        <v>5.25</v>
      </c>
      <c r="C208" s="37">
        <f>IF((Up_Basis="Per kg H2 (kWh)"),$B208+(Up_RlL+Up_ElzL)/Ship_CargoL,($B208*Ship_CargoL+Up_RlL+Up_ElzL)/1000)</f>
        <v>14951.6856</v>
      </c>
      <c r="D208" s="37">
        <f>IF((Up_Basis="Per kg H2 (kWh)"),(Up_HB+Up_RlN+Up_ElzN)/Up_H2N,(Up_HB+Up_RlN+Up_ElzN)/1000)</f>
        <v>4897.00357142857</v>
      </c>
      <c r="E208" s="38">
        <f>IF($B208&lt;=Up_MinPara,1,0)</f>
        <v>0</v>
      </c>
      <c r="F208" s="38">
        <f>IF(AND($B208&gt;=8,$B208&lt;=9),1,0)</f>
        <v>0</v>
      </c>
      <c r="G208" s="37" t="e">
        <f>IF(ABS($B208-Up_MinNorm)&lt;=0.025,Up_YTop,NA())</f>
        <v>#N/A</v>
      </c>
      <c r="H208" s="37" t="e">
        <f>IF(ABS($B208-Up_MinPara)&lt;=0.025,Up_YTop,NA())</f>
        <v>#N/A</v>
      </c>
      <c r="I208" s="37" t="e">
        <f>IF(ABS($B208-Up_SecL)&lt;=0.025,C208,NA())</f>
        <v>#N/A</v>
      </c>
      <c r="J208" s="37" t="e">
        <f>IF(AND(Up_Par0&gt;=0,Up_Par0&lt;=10),IF(ABS($B208-Up_Par0)&lt;=0.025,D208,NA()),NA())</f>
        <v>#N/A</v>
      </c>
      <c r="K208" s="39">
        <f>IF(MOD(105,20)=0,TEXT($B208,"0"),"")</f>
        <v/>
      </c>
    </row>
    <row r="209" spans="2:11" ht="17" customHeight="1">
      <c r="B209" s="36">
        <v>5.3</v>
      </c>
      <c r="C209" s="37">
        <f>IF((Up_Basis="Per kg H2 (kWh)"),$B209+(Up_RlL+Up_ElzL)/Ship_CargoL,($B209*Ship_CargoL+Up_RlL+Up_ElzL)/1000)</f>
        <v>15093.2856</v>
      </c>
      <c r="D209" s="37">
        <f>IF((Up_Basis="Per kg H2 (kWh)"),(Up_HB+Up_RlN+Up_ElzN)/Up_H2N,(Up_HB+Up_RlN+Up_ElzN)/1000)</f>
        <v>4897.00357142857</v>
      </c>
      <c r="E209" s="38">
        <f>IF($B209&lt;=Up_MinPara,1,0)</f>
        <v>0</v>
      </c>
      <c r="F209" s="38">
        <f>IF(AND($B209&gt;=8,$B209&lt;=9),1,0)</f>
        <v>0</v>
      </c>
      <c r="G209" s="37" t="e">
        <f>IF(ABS($B209-Up_MinNorm)&lt;=0.025,Up_YTop,NA())</f>
        <v>#N/A</v>
      </c>
      <c r="H209" s="37" t="e">
        <f>IF(ABS($B209-Up_MinPara)&lt;=0.025,Up_YTop,NA())</f>
        <v>#N/A</v>
      </c>
      <c r="I209" s="37" t="e">
        <f>IF(ABS($B209-Up_SecL)&lt;=0.025,C209,NA())</f>
        <v>#N/A</v>
      </c>
      <c r="J209" s="37" t="e">
        <f>IF(AND(Up_Par0&gt;=0,Up_Par0&lt;=10),IF(ABS($B209-Up_Par0)&lt;=0.025,D209,NA()),NA())</f>
        <v>#N/A</v>
      </c>
      <c r="K209" s="39">
        <f>IF(MOD(106,20)=0,TEXT($B209,"0"),"")</f>
        <v/>
      </c>
    </row>
    <row r="210" spans="2:11" ht="17" customHeight="1">
      <c r="B210" s="36">
        <v>5.35</v>
      </c>
      <c r="C210" s="37">
        <f>IF((Up_Basis="Per kg H2 (kWh)"),$B210+(Up_RlL+Up_ElzL)/Ship_CargoL,($B210*Ship_CargoL+Up_RlL+Up_ElzL)/1000)</f>
        <v>15234.8856</v>
      </c>
      <c r="D210" s="37">
        <f>IF((Up_Basis="Per kg H2 (kWh)"),(Up_HB+Up_RlN+Up_ElzN)/Up_H2N,(Up_HB+Up_RlN+Up_ElzN)/1000)</f>
        <v>4897.00357142857</v>
      </c>
      <c r="E210" s="38">
        <f>IF($B210&lt;=Up_MinPara,1,0)</f>
        <v>0</v>
      </c>
      <c r="F210" s="38">
        <f>IF(AND($B210&gt;=8,$B210&lt;=9),1,0)</f>
        <v>0</v>
      </c>
      <c r="G210" s="37" t="e">
        <f>IF(ABS($B210-Up_MinNorm)&lt;=0.025,Up_YTop,NA())</f>
        <v>#N/A</v>
      </c>
      <c r="H210" s="37" t="e">
        <f>IF(ABS($B210-Up_MinPara)&lt;=0.025,Up_YTop,NA())</f>
        <v>#N/A</v>
      </c>
      <c r="I210" s="37" t="e">
        <f>IF(ABS($B210-Up_SecL)&lt;=0.025,C210,NA())</f>
        <v>#N/A</v>
      </c>
      <c r="J210" s="37" t="e">
        <f>IF(AND(Up_Par0&gt;=0,Up_Par0&lt;=10),IF(ABS($B210-Up_Par0)&lt;=0.025,D210,NA()),NA())</f>
        <v>#N/A</v>
      </c>
      <c r="K210" s="39">
        <f>IF(MOD(107,20)=0,TEXT($B210,"0"),"")</f>
        <v/>
      </c>
    </row>
    <row r="211" spans="2:11" ht="17" customHeight="1">
      <c r="B211" s="36">
        <v>5.4</v>
      </c>
      <c r="C211" s="37">
        <f>IF((Up_Basis="Per kg H2 (kWh)"),$B211+(Up_RlL+Up_ElzL)/Ship_CargoL,($B211*Ship_CargoL+Up_RlL+Up_ElzL)/1000)</f>
        <v>15376.4856</v>
      </c>
      <c r="D211" s="37">
        <f>IF((Up_Basis="Per kg H2 (kWh)"),(Up_HB+Up_RlN+Up_ElzN)/Up_H2N,(Up_HB+Up_RlN+Up_ElzN)/1000)</f>
        <v>4897.00357142857</v>
      </c>
      <c r="E211" s="38">
        <f>IF($B211&lt;=Up_MinPara,1,0)</f>
        <v>0</v>
      </c>
      <c r="F211" s="38">
        <f>IF(AND($B211&gt;=8,$B211&lt;=9),1,0)</f>
        <v>0</v>
      </c>
      <c r="G211" s="37" t="e">
        <f>IF(ABS($B211-Up_MinNorm)&lt;=0.025,Up_YTop,NA())</f>
        <v>#N/A</v>
      </c>
      <c r="H211" s="37" t="e">
        <f>IF(ABS($B211-Up_MinPara)&lt;=0.025,Up_YTop,NA())</f>
        <v>#N/A</v>
      </c>
      <c r="I211" s="37" t="e">
        <f>IF(ABS($B211-Up_SecL)&lt;=0.025,C211,NA())</f>
        <v>#N/A</v>
      </c>
      <c r="J211" s="37" t="e">
        <f>IF(AND(Up_Par0&gt;=0,Up_Par0&lt;=10),IF(ABS($B211-Up_Par0)&lt;=0.025,D211,NA()),NA())</f>
        <v>#N/A</v>
      </c>
      <c r="K211" s="39">
        <f>IF(MOD(108,20)=0,TEXT($B211,"0"),"")</f>
        <v/>
      </c>
    </row>
    <row r="212" spans="2:11" ht="17" customHeight="1">
      <c r="B212" s="36">
        <v>5.45</v>
      </c>
      <c r="C212" s="37">
        <f>IF((Up_Basis="Per kg H2 (kWh)"),$B212+(Up_RlL+Up_ElzL)/Ship_CargoL,($B212*Ship_CargoL+Up_RlL+Up_ElzL)/1000)</f>
        <v>15518.0856</v>
      </c>
      <c r="D212" s="37">
        <f>IF((Up_Basis="Per kg H2 (kWh)"),(Up_HB+Up_RlN+Up_ElzN)/Up_H2N,(Up_HB+Up_RlN+Up_ElzN)/1000)</f>
        <v>4897.00357142857</v>
      </c>
      <c r="E212" s="38">
        <f>IF($B212&lt;=Up_MinPara,1,0)</f>
        <v>0</v>
      </c>
      <c r="F212" s="38">
        <f>IF(AND($B212&gt;=8,$B212&lt;=9),1,0)</f>
        <v>0</v>
      </c>
      <c r="G212" s="37" t="e">
        <f>IF(ABS($B212-Up_MinNorm)&lt;=0.025,Up_YTop,NA())</f>
        <v>#N/A</v>
      </c>
      <c r="H212" s="37" t="e">
        <f>IF(ABS($B212-Up_MinPara)&lt;=0.025,Up_YTop,NA())</f>
        <v>#N/A</v>
      </c>
      <c r="I212" s="37" t="e">
        <f>IF(ABS($B212-Up_SecL)&lt;=0.025,C212,NA())</f>
        <v>#N/A</v>
      </c>
      <c r="J212" s="37" t="e">
        <f>IF(AND(Up_Par0&gt;=0,Up_Par0&lt;=10),IF(ABS($B212-Up_Par0)&lt;=0.025,D212,NA()),NA())</f>
        <v>#N/A</v>
      </c>
      <c r="K212" s="39">
        <f>IF(MOD(109,20)=0,TEXT($B212,"0"),"")</f>
        <v/>
      </c>
    </row>
    <row r="213" spans="2:11" ht="17" customHeight="1">
      <c r="B213" s="36">
        <v>5.5</v>
      </c>
      <c r="C213" s="37">
        <f>IF((Up_Basis="Per kg H2 (kWh)"),$B213+(Up_RlL+Up_ElzL)/Ship_CargoL,($B213*Ship_CargoL+Up_RlL+Up_ElzL)/1000)</f>
        <v>15659.6856</v>
      </c>
      <c r="D213" s="37">
        <f>IF((Up_Basis="Per kg H2 (kWh)"),(Up_HB+Up_RlN+Up_ElzN)/Up_H2N,(Up_HB+Up_RlN+Up_ElzN)/1000)</f>
        <v>4897.00357142857</v>
      </c>
      <c r="E213" s="38">
        <f>IF($B213&lt;=Up_MinPara,1,0)</f>
        <v>0</v>
      </c>
      <c r="F213" s="38">
        <f>IF(AND($B213&gt;=8,$B213&lt;=9),1,0)</f>
        <v>0</v>
      </c>
      <c r="G213" s="37" t="e">
        <f>IF(ABS($B213-Up_MinNorm)&lt;=0.025,Up_YTop,NA())</f>
        <v>#N/A</v>
      </c>
      <c r="H213" s="37" t="e">
        <f>IF(ABS($B213-Up_MinPara)&lt;=0.025,Up_YTop,NA())</f>
        <v>#N/A</v>
      </c>
      <c r="I213" s="37" t="e">
        <f>IF(ABS($B213-Up_SecL)&lt;=0.025,C213,NA())</f>
        <v>#N/A</v>
      </c>
      <c r="J213" s="37" t="e">
        <f>IF(AND(Up_Par0&gt;=0,Up_Par0&lt;=10),IF(ABS($B213-Up_Par0)&lt;=0.025,D213,NA()),NA())</f>
        <v>#N/A</v>
      </c>
      <c r="K213" s="39">
        <f>IF(MOD(110,20)=0,TEXT($B213,"0"),"")</f>
        <v/>
      </c>
    </row>
    <row r="214" spans="2:11" ht="17" customHeight="1">
      <c r="B214" s="36">
        <v>5.55</v>
      </c>
      <c r="C214" s="37">
        <f>IF((Up_Basis="Per kg H2 (kWh)"),$B214+(Up_RlL+Up_ElzL)/Ship_CargoL,($B214*Ship_CargoL+Up_RlL+Up_ElzL)/1000)</f>
        <v>15801.2856</v>
      </c>
      <c r="D214" s="37">
        <f>IF((Up_Basis="Per kg H2 (kWh)"),(Up_HB+Up_RlN+Up_ElzN)/Up_H2N,(Up_HB+Up_RlN+Up_ElzN)/1000)</f>
        <v>4897.00357142857</v>
      </c>
      <c r="E214" s="38">
        <f>IF($B214&lt;=Up_MinPara,1,0)</f>
        <v>0</v>
      </c>
      <c r="F214" s="38">
        <f>IF(AND($B214&gt;=8,$B214&lt;=9),1,0)</f>
        <v>0</v>
      </c>
      <c r="G214" s="37" t="e">
        <f>IF(ABS($B214-Up_MinNorm)&lt;=0.025,Up_YTop,NA())</f>
        <v>#N/A</v>
      </c>
      <c r="H214" s="37" t="e">
        <f>IF(ABS($B214-Up_MinPara)&lt;=0.025,Up_YTop,NA())</f>
        <v>#N/A</v>
      </c>
      <c r="I214" s="37" t="e">
        <f>IF(ABS($B214-Up_SecL)&lt;=0.025,C214,NA())</f>
        <v>#N/A</v>
      </c>
      <c r="J214" s="37" t="e">
        <f>IF(AND(Up_Par0&gt;=0,Up_Par0&lt;=10),IF(ABS($B214-Up_Par0)&lt;=0.025,D214,NA()),NA())</f>
        <v>#N/A</v>
      </c>
      <c r="K214" s="39">
        <f>IF(MOD(111,20)=0,TEXT($B214,"0"),"")</f>
        <v/>
      </c>
    </row>
    <row r="215" spans="2:11" ht="17" customHeight="1">
      <c r="B215" s="36">
        <v>5.6</v>
      </c>
      <c r="C215" s="37">
        <f>IF((Up_Basis="Per kg H2 (kWh)"),$B215+(Up_RlL+Up_ElzL)/Ship_CargoL,($B215*Ship_CargoL+Up_RlL+Up_ElzL)/1000)</f>
        <v>15942.8856</v>
      </c>
      <c r="D215" s="37">
        <f>IF((Up_Basis="Per kg H2 (kWh)"),(Up_HB+Up_RlN+Up_ElzN)/Up_H2N,(Up_HB+Up_RlN+Up_ElzN)/1000)</f>
        <v>4897.00357142857</v>
      </c>
      <c r="E215" s="38">
        <f>IF($B215&lt;=Up_MinPara,1,0)</f>
        <v>0</v>
      </c>
      <c r="F215" s="38">
        <f>IF(AND($B215&gt;=8,$B215&lt;=9),1,0)</f>
        <v>0</v>
      </c>
      <c r="G215" s="37" t="e">
        <f>IF(ABS($B215-Up_MinNorm)&lt;=0.025,Up_YTop,NA())</f>
        <v>#N/A</v>
      </c>
      <c r="H215" s="37" t="e">
        <f>IF(ABS($B215-Up_MinPara)&lt;=0.025,Up_YTop,NA())</f>
        <v>#N/A</v>
      </c>
      <c r="I215" s="37" t="e">
        <f>IF(ABS($B215-Up_SecL)&lt;=0.025,C215,NA())</f>
        <v>#N/A</v>
      </c>
      <c r="J215" s="37" t="e">
        <f>IF(AND(Up_Par0&gt;=0,Up_Par0&lt;=10),IF(ABS($B215-Up_Par0)&lt;=0.025,D215,NA()),NA())</f>
        <v>#N/A</v>
      </c>
      <c r="K215" s="39">
        <f>IF(MOD(112,20)=0,TEXT($B215,"0"),"")</f>
        <v/>
      </c>
    </row>
    <row r="216" spans="2:11" ht="17" customHeight="1">
      <c r="B216" s="36">
        <v>5.65</v>
      </c>
      <c r="C216" s="37">
        <f>IF((Up_Basis="Per kg H2 (kWh)"),$B216+(Up_RlL+Up_ElzL)/Ship_CargoL,($B216*Ship_CargoL+Up_RlL+Up_ElzL)/1000)</f>
        <v>16084.4856</v>
      </c>
      <c r="D216" s="37">
        <f>IF((Up_Basis="Per kg H2 (kWh)"),(Up_HB+Up_RlN+Up_ElzN)/Up_H2N,(Up_HB+Up_RlN+Up_ElzN)/1000)</f>
        <v>4897.00357142857</v>
      </c>
      <c r="E216" s="38">
        <f>IF($B216&lt;=Up_MinPara,1,0)</f>
        <v>0</v>
      </c>
      <c r="F216" s="38">
        <f>IF(AND($B216&gt;=8,$B216&lt;=9),1,0)</f>
        <v>0</v>
      </c>
      <c r="G216" s="37" t="e">
        <f>IF(ABS($B216-Up_MinNorm)&lt;=0.025,Up_YTop,NA())</f>
        <v>#N/A</v>
      </c>
      <c r="H216" s="37" t="e">
        <f>IF(ABS($B216-Up_MinPara)&lt;=0.025,Up_YTop,NA())</f>
        <v>#N/A</v>
      </c>
      <c r="I216" s="37" t="e">
        <f>IF(ABS($B216-Up_SecL)&lt;=0.025,C216,NA())</f>
        <v>#N/A</v>
      </c>
      <c r="J216" s="37" t="e">
        <f>IF(AND(Up_Par0&gt;=0,Up_Par0&lt;=10),IF(ABS($B216-Up_Par0)&lt;=0.025,D216,NA()),NA())</f>
        <v>#N/A</v>
      </c>
      <c r="K216" s="39">
        <f>IF(MOD(113,20)=0,TEXT($B216,"0"),"")</f>
        <v/>
      </c>
    </row>
    <row r="217" spans="2:11" ht="17" customHeight="1">
      <c r="B217" s="36">
        <v>5.7</v>
      </c>
      <c r="C217" s="37">
        <f>IF((Up_Basis="Per kg H2 (kWh)"),$B217+(Up_RlL+Up_ElzL)/Ship_CargoL,($B217*Ship_CargoL+Up_RlL+Up_ElzL)/1000)</f>
        <v>16226.0856</v>
      </c>
      <c r="D217" s="37">
        <f>IF((Up_Basis="Per kg H2 (kWh)"),(Up_HB+Up_RlN+Up_ElzN)/Up_H2N,(Up_HB+Up_RlN+Up_ElzN)/1000)</f>
        <v>4897.00357142857</v>
      </c>
      <c r="E217" s="38">
        <f>IF($B217&lt;=Up_MinPara,1,0)</f>
        <v>0</v>
      </c>
      <c r="F217" s="38">
        <f>IF(AND($B217&gt;=8,$B217&lt;=9),1,0)</f>
        <v>0</v>
      </c>
      <c r="G217" s="37" t="e">
        <f>IF(ABS($B217-Up_MinNorm)&lt;=0.025,Up_YTop,NA())</f>
        <v>#N/A</v>
      </c>
      <c r="H217" s="37" t="e">
        <f>IF(ABS($B217-Up_MinPara)&lt;=0.025,Up_YTop,NA())</f>
        <v>#N/A</v>
      </c>
      <c r="I217" s="37" t="e">
        <f>IF(ABS($B217-Up_SecL)&lt;=0.025,C217,NA())</f>
        <v>#N/A</v>
      </c>
      <c r="J217" s="37" t="e">
        <f>IF(AND(Up_Par0&gt;=0,Up_Par0&lt;=10),IF(ABS($B217-Up_Par0)&lt;=0.025,D217,NA()),NA())</f>
        <v>#N/A</v>
      </c>
      <c r="K217" s="39">
        <f>IF(MOD(114,20)=0,TEXT($B217,"0"),"")</f>
        <v/>
      </c>
    </row>
    <row r="218" spans="2:11" ht="17" customHeight="1">
      <c r="B218" s="36">
        <v>5.75</v>
      </c>
      <c r="C218" s="37">
        <f>IF((Up_Basis="Per kg H2 (kWh)"),$B218+(Up_RlL+Up_ElzL)/Ship_CargoL,($B218*Ship_CargoL+Up_RlL+Up_ElzL)/1000)</f>
        <v>16367.6856</v>
      </c>
      <c r="D218" s="37">
        <f>IF((Up_Basis="Per kg H2 (kWh)"),(Up_HB+Up_RlN+Up_ElzN)/Up_H2N,(Up_HB+Up_RlN+Up_ElzN)/1000)</f>
        <v>4897.00357142857</v>
      </c>
      <c r="E218" s="38">
        <f>IF($B218&lt;=Up_MinPara,1,0)</f>
        <v>0</v>
      </c>
      <c r="F218" s="38">
        <f>IF(AND($B218&gt;=8,$B218&lt;=9),1,0)</f>
        <v>0</v>
      </c>
      <c r="G218" s="37" t="e">
        <f>IF(ABS($B218-Up_MinNorm)&lt;=0.025,Up_YTop,NA())</f>
        <v>#N/A</v>
      </c>
      <c r="H218" s="37" t="e">
        <f>IF(ABS($B218-Up_MinPara)&lt;=0.025,Up_YTop,NA())</f>
        <v>#N/A</v>
      </c>
      <c r="I218" s="37" t="e">
        <f>IF(ABS($B218-Up_SecL)&lt;=0.025,C218,NA())</f>
        <v>#N/A</v>
      </c>
      <c r="J218" s="37" t="e">
        <f>IF(AND(Up_Par0&gt;=0,Up_Par0&lt;=10),IF(ABS($B218-Up_Par0)&lt;=0.025,D218,NA()),NA())</f>
        <v>#N/A</v>
      </c>
      <c r="K218" s="39">
        <f>IF(MOD(115,20)=0,TEXT($B218,"0"),"")</f>
        <v/>
      </c>
    </row>
    <row r="219" spans="2:11" ht="17" customHeight="1">
      <c r="B219" s="36">
        <v>5.8</v>
      </c>
      <c r="C219" s="37">
        <f>IF((Up_Basis="Per kg H2 (kWh)"),$B219+(Up_RlL+Up_ElzL)/Ship_CargoL,($B219*Ship_CargoL+Up_RlL+Up_ElzL)/1000)</f>
        <v>16509.2856</v>
      </c>
      <c r="D219" s="37">
        <f>IF((Up_Basis="Per kg H2 (kWh)"),(Up_HB+Up_RlN+Up_ElzN)/Up_H2N,(Up_HB+Up_RlN+Up_ElzN)/1000)</f>
        <v>4897.00357142857</v>
      </c>
      <c r="E219" s="38">
        <f>IF($B219&lt;=Up_MinPara,1,0)</f>
        <v>0</v>
      </c>
      <c r="F219" s="38">
        <f>IF(AND($B219&gt;=8,$B219&lt;=9),1,0)</f>
        <v>0</v>
      </c>
      <c r="G219" s="37" t="e">
        <f>IF(ABS($B219-Up_MinNorm)&lt;=0.025,Up_YTop,NA())</f>
        <v>#N/A</v>
      </c>
      <c r="H219" s="37" t="e">
        <f>IF(ABS($B219-Up_MinPara)&lt;=0.025,Up_YTop,NA())</f>
        <v>#N/A</v>
      </c>
      <c r="I219" s="37" t="e">
        <f>IF(ABS($B219-Up_SecL)&lt;=0.025,C219,NA())</f>
        <v>#N/A</v>
      </c>
      <c r="J219" s="37" t="e">
        <f>IF(AND(Up_Par0&gt;=0,Up_Par0&lt;=10),IF(ABS($B219-Up_Par0)&lt;=0.025,D219,NA()),NA())</f>
        <v>#N/A</v>
      </c>
      <c r="K219" s="39">
        <f>IF(MOD(116,20)=0,TEXT($B219,"0"),"")</f>
        <v/>
      </c>
    </row>
    <row r="220" spans="2:11" ht="17" customHeight="1">
      <c r="B220" s="36">
        <v>5.85</v>
      </c>
      <c r="C220" s="37">
        <f>IF((Up_Basis="Per kg H2 (kWh)"),$B220+(Up_RlL+Up_ElzL)/Ship_CargoL,($B220*Ship_CargoL+Up_RlL+Up_ElzL)/1000)</f>
        <v>16650.8856</v>
      </c>
      <c r="D220" s="37">
        <f>IF((Up_Basis="Per kg H2 (kWh)"),(Up_HB+Up_RlN+Up_ElzN)/Up_H2N,(Up_HB+Up_RlN+Up_ElzN)/1000)</f>
        <v>4897.00357142857</v>
      </c>
      <c r="E220" s="38">
        <f>IF($B220&lt;=Up_MinPara,1,0)</f>
        <v>0</v>
      </c>
      <c r="F220" s="38">
        <f>IF(AND($B220&gt;=8,$B220&lt;=9),1,0)</f>
        <v>0</v>
      </c>
      <c r="G220" s="37" t="e">
        <f>IF(ABS($B220-Up_MinNorm)&lt;=0.025,Up_YTop,NA())</f>
        <v>#N/A</v>
      </c>
      <c r="H220" s="37" t="e">
        <f>IF(ABS($B220-Up_MinPara)&lt;=0.025,Up_YTop,NA())</f>
        <v>#N/A</v>
      </c>
      <c r="I220" s="37" t="e">
        <f>IF(ABS($B220-Up_SecL)&lt;=0.025,C220,NA())</f>
        <v>#N/A</v>
      </c>
      <c r="J220" s="37" t="e">
        <f>IF(AND(Up_Par0&gt;=0,Up_Par0&lt;=10),IF(ABS($B220-Up_Par0)&lt;=0.025,D220,NA()),NA())</f>
        <v>#N/A</v>
      </c>
      <c r="K220" s="39">
        <f>IF(MOD(117,20)=0,TEXT($B220,"0"),"")</f>
        <v/>
      </c>
    </row>
    <row r="221" spans="2:11" ht="17" customHeight="1">
      <c r="B221" s="36">
        <v>5.9</v>
      </c>
      <c r="C221" s="37">
        <f>IF((Up_Basis="Per kg H2 (kWh)"),$B221+(Up_RlL+Up_ElzL)/Ship_CargoL,($B221*Ship_CargoL+Up_RlL+Up_ElzL)/1000)</f>
        <v>16792.4856</v>
      </c>
      <c r="D221" s="37">
        <f>IF((Up_Basis="Per kg H2 (kWh)"),(Up_HB+Up_RlN+Up_ElzN)/Up_H2N,(Up_HB+Up_RlN+Up_ElzN)/1000)</f>
        <v>4897.00357142857</v>
      </c>
      <c r="E221" s="38">
        <f>IF($B221&lt;=Up_MinPara,1,0)</f>
        <v>0</v>
      </c>
      <c r="F221" s="38">
        <f>IF(AND($B221&gt;=8,$B221&lt;=9),1,0)</f>
        <v>0</v>
      </c>
      <c r="G221" s="37" t="e">
        <f>IF(ABS($B221-Up_MinNorm)&lt;=0.025,Up_YTop,NA())</f>
        <v>#N/A</v>
      </c>
      <c r="H221" s="37" t="e">
        <f>IF(ABS($B221-Up_MinPara)&lt;=0.025,Up_YTop,NA())</f>
        <v>#N/A</v>
      </c>
      <c r="I221" s="37" t="e">
        <f>IF(ABS($B221-Up_SecL)&lt;=0.025,C221,NA())</f>
        <v>#N/A</v>
      </c>
      <c r="J221" s="37" t="e">
        <f>IF(AND(Up_Par0&gt;=0,Up_Par0&lt;=10),IF(ABS($B221-Up_Par0)&lt;=0.025,D221,NA()),NA())</f>
        <v>#N/A</v>
      </c>
      <c r="K221" s="39">
        <f>IF(MOD(118,20)=0,TEXT($B221,"0"),"")</f>
        <v/>
      </c>
    </row>
    <row r="222" spans="2:11" ht="17" customHeight="1">
      <c r="B222" s="36">
        <v>5.95</v>
      </c>
      <c r="C222" s="37">
        <f>IF((Up_Basis="Per kg H2 (kWh)"),$B222+(Up_RlL+Up_ElzL)/Ship_CargoL,($B222*Ship_CargoL+Up_RlL+Up_ElzL)/1000)</f>
        <v>16934.0856</v>
      </c>
      <c r="D222" s="37">
        <f>IF((Up_Basis="Per kg H2 (kWh)"),(Up_HB+Up_RlN+Up_ElzN)/Up_H2N,(Up_HB+Up_RlN+Up_ElzN)/1000)</f>
        <v>4897.00357142857</v>
      </c>
      <c r="E222" s="38">
        <f>IF($B222&lt;=Up_MinPara,1,0)</f>
        <v>0</v>
      </c>
      <c r="F222" s="38">
        <f>IF(AND($B222&gt;=8,$B222&lt;=9),1,0)</f>
        <v>0</v>
      </c>
      <c r="G222" s="37" t="e">
        <f>IF(ABS($B222-Up_MinNorm)&lt;=0.025,Up_YTop,NA())</f>
        <v>#N/A</v>
      </c>
      <c r="H222" s="37" t="e">
        <f>IF(ABS($B222-Up_MinPara)&lt;=0.025,Up_YTop,NA())</f>
        <v>#N/A</v>
      </c>
      <c r="I222" s="37" t="e">
        <f>IF(ABS($B222-Up_SecL)&lt;=0.025,C222,NA())</f>
        <v>#N/A</v>
      </c>
      <c r="J222" s="37" t="e">
        <f>IF(AND(Up_Par0&gt;=0,Up_Par0&lt;=10),IF(ABS($B222-Up_Par0)&lt;=0.025,D222,NA()),NA())</f>
        <v>#N/A</v>
      </c>
      <c r="K222" s="39">
        <f>IF(MOD(119,20)=0,TEXT($B222,"0"),"")</f>
        <v/>
      </c>
    </row>
    <row r="223" spans="2:11" ht="17" customHeight="1">
      <c r="B223" s="36">
        <v>6</v>
      </c>
      <c r="C223" s="37">
        <f>IF((Up_Basis="Per kg H2 (kWh)"),$B223+(Up_RlL+Up_ElzL)/Ship_CargoL,($B223*Ship_CargoL+Up_RlL+Up_ElzL)/1000)</f>
        <v>17075.6856</v>
      </c>
      <c r="D223" s="37">
        <f>IF((Up_Basis="Per kg H2 (kWh)"),(Up_HB+Up_RlN+Up_ElzN)/Up_H2N,(Up_HB+Up_RlN+Up_ElzN)/1000)</f>
        <v>4897.00357142857</v>
      </c>
      <c r="E223" s="38">
        <f>IF($B223&lt;=Up_MinPara,1,0)</f>
        <v>0</v>
      </c>
      <c r="F223" s="38">
        <f>IF(AND($B223&gt;=8,$B223&lt;=9),1,0)</f>
        <v>0</v>
      </c>
      <c r="G223" s="37" t="e">
        <f>IF(ABS($B223-Up_MinNorm)&lt;=0.025,Up_YTop,NA())</f>
        <v>#N/A</v>
      </c>
      <c r="H223" s="37" t="e">
        <f>IF(ABS($B223-Up_MinPara)&lt;=0.025,Up_YTop,NA())</f>
        <v>#N/A</v>
      </c>
      <c r="I223" s="37" t="e">
        <f>IF(ABS($B223-Up_SecL)&lt;=0.025,C223,NA())</f>
        <v>#N/A</v>
      </c>
      <c r="J223" s="37" t="e">
        <f>IF(AND(Up_Par0&gt;=0,Up_Par0&lt;=10),IF(ABS($B223-Up_Par0)&lt;=0.025,D223,NA()),NA())</f>
        <v>#N/A</v>
      </c>
      <c r="K223" s="39" t="str">
        <f>IF(MOD(120,20)=0,TEXT($B223,"0"),"")</f>
        <v>6</v>
      </c>
    </row>
    <row r="224" spans="2:11" ht="17" customHeight="1">
      <c r="B224" s="36">
        <v>6.05</v>
      </c>
      <c r="C224" s="37">
        <f>IF((Up_Basis="Per kg H2 (kWh)"),$B224+(Up_RlL+Up_ElzL)/Ship_CargoL,($B224*Ship_CargoL+Up_RlL+Up_ElzL)/1000)</f>
        <v>17217.2856</v>
      </c>
      <c r="D224" s="37">
        <f>IF((Up_Basis="Per kg H2 (kWh)"),(Up_HB+Up_RlN+Up_ElzN)/Up_H2N,(Up_HB+Up_RlN+Up_ElzN)/1000)</f>
        <v>4897.00357142857</v>
      </c>
      <c r="E224" s="38">
        <f>IF($B224&lt;=Up_MinPara,1,0)</f>
        <v>0</v>
      </c>
      <c r="F224" s="38">
        <f>IF(AND($B224&gt;=8,$B224&lt;=9),1,0)</f>
        <v>0</v>
      </c>
      <c r="G224" s="37" t="e">
        <f>IF(ABS($B224-Up_MinNorm)&lt;=0.025,Up_YTop,NA())</f>
        <v>#N/A</v>
      </c>
      <c r="H224" s="37" t="e">
        <f>IF(ABS($B224-Up_MinPara)&lt;=0.025,Up_YTop,NA())</f>
        <v>#N/A</v>
      </c>
      <c r="I224" s="37" t="e">
        <f>IF(ABS($B224-Up_SecL)&lt;=0.025,C224,NA())</f>
        <v>#N/A</v>
      </c>
      <c r="J224" s="37" t="e">
        <f>IF(AND(Up_Par0&gt;=0,Up_Par0&lt;=10),IF(ABS($B224-Up_Par0)&lt;=0.025,D224,NA()),NA())</f>
        <v>#N/A</v>
      </c>
      <c r="K224" s="39">
        <f>IF(MOD(121,20)=0,TEXT($B224,"0"),"")</f>
        <v/>
      </c>
    </row>
    <row r="225" spans="2:11" ht="17" customHeight="1">
      <c r="B225" s="36">
        <v>6.1</v>
      </c>
      <c r="C225" s="37">
        <f>IF((Up_Basis="Per kg H2 (kWh)"),$B225+(Up_RlL+Up_ElzL)/Ship_CargoL,($B225*Ship_CargoL+Up_RlL+Up_ElzL)/1000)</f>
        <v>17358.8856</v>
      </c>
      <c r="D225" s="37">
        <f>IF((Up_Basis="Per kg H2 (kWh)"),(Up_HB+Up_RlN+Up_ElzN)/Up_H2N,(Up_HB+Up_RlN+Up_ElzN)/1000)</f>
        <v>4897.00357142857</v>
      </c>
      <c r="E225" s="38">
        <f>IF($B225&lt;=Up_MinPara,1,0)</f>
        <v>0</v>
      </c>
      <c r="F225" s="38">
        <f>IF(AND($B225&gt;=8,$B225&lt;=9),1,0)</f>
        <v>0</v>
      </c>
      <c r="G225" s="37" t="e">
        <f>IF(ABS($B225-Up_MinNorm)&lt;=0.025,Up_YTop,NA())</f>
        <v>#N/A</v>
      </c>
      <c r="H225" s="37" t="e">
        <f>IF(ABS($B225-Up_MinPara)&lt;=0.025,Up_YTop,NA())</f>
        <v>#N/A</v>
      </c>
      <c r="I225" s="37" t="e">
        <f>IF(ABS($B225-Up_SecL)&lt;=0.025,C225,NA())</f>
        <v>#N/A</v>
      </c>
      <c r="J225" s="37" t="e">
        <f>IF(AND(Up_Par0&gt;=0,Up_Par0&lt;=10),IF(ABS($B225-Up_Par0)&lt;=0.025,D225,NA()),NA())</f>
        <v>#N/A</v>
      </c>
      <c r="K225" s="39">
        <f>IF(MOD(122,20)=0,TEXT($B225,"0"),"")</f>
        <v/>
      </c>
    </row>
    <row r="226" spans="2:11" ht="17" customHeight="1">
      <c r="B226" s="36">
        <v>6.15</v>
      </c>
      <c r="C226" s="37">
        <f>IF((Up_Basis="Per kg H2 (kWh)"),$B226+(Up_RlL+Up_ElzL)/Ship_CargoL,($B226*Ship_CargoL+Up_RlL+Up_ElzL)/1000)</f>
        <v>17500.4856</v>
      </c>
      <c r="D226" s="37">
        <f>IF((Up_Basis="Per kg H2 (kWh)"),(Up_HB+Up_RlN+Up_ElzN)/Up_H2N,(Up_HB+Up_RlN+Up_ElzN)/1000)</f>
        <v>4897.00357142857</v>
      </c>
      <c r="E226" s="38">
        <f>IF($B226&lt;=Up_MinPara,1,0)</f>
        <v>0</v>
      </c>
      <c r="F226" s="38">
        <f>IF(AND($B226&gt;=8,$B226&lt;=9),1,0)</f>
        <v>0</v>
      </c>
      <c r="G226" s="37" t="e">
        <f>IF(ABS($B226-Up_MinNorm)&lt;=0.025,Up_YTop,NA())</f>
        <v>#N/A</v>
      </c>
      <c r="H226" s="37" t="e">
        <f>IF(ABS($B226-Up_MinPara)&lt;=0.025,Up_YTop,NA())</f>
        <v>#N/A</v>
      </c>
      <c r="I226" s="37" t="e">
        <f>IF(ABS($B226-Up_SecL)&lt;=0.025,C226,NA())</f>
        <v>#N/A</v>
      </c>
      <c r="J226" s="37" t="e">
        <f>IF(AND(Up_Par0&gt;=0,Up_Par0&lt;=10),IF(ABS($B226-Up_Par0)&lt;=0.025,D226,NA()),NA())</f>
        <v>#N/A</v>
      </c>
      <c r="K226" s="39">
        <f>IF(MOD(123,20)=0,TEXT($B226,"0"),"")</f>
        <v/>
      </c>
    </row>
    <row r="227" spans="2:11" ht="17" customHeight="1">
      <c r="B227" s="36">
        <v>6.2</v>
      </c>
      <c r="C227" s="37">
        <f>IF((Up_Basis="Per kg H2 (kWh)"),$B227+(Up_RlL+Up_ElzL)/Ship_CargoL,($B227*Ship_CargoL+Up_RlL+Up_ElzL)/1000)</f>
        <v>17642.0856</v>
      </c>
      <c r="D227" s="37">
        <f>IF((Up_Basis="Per kg H2 (kWh)"),(Up_HB+Up_RlN+Up_ElzN)/Up_H2N,(Up_HB+Up_RlN+Up_ElzN)/1000)</f>
        <v>4897.00357142857</v>
      </c>
      <c r="E227" s="38">
        <f>IF($B227&lt;=Up_MinPara,1,0)</f>
        <v>0</v>
      </c>
      <c r="F227" s="38">
        <f>IF(AND($B227&gt;=8,$B227&lt;=9),1,0)</f>
        <v>0</v>
      </c>
      <c r="G227" s="37" t="e">
        <f>IF(ABS($B227-Up_MinNorm)&lt;=0.025,Up_YTop,NA())</f>
        <v>#N/A</v>
      </c>
      <c r="H227" s="37" t="e">
        <f>IF(ABS($B227-Up_MinPara)&lt;=0.025,Up_YTop,NA())</f>
        <v>#N/A</v>
      </c>
      <c r="I227" s="37" t="e">
        <f>IF(ABS($B227-Up_SecL)&lt;=0.025,C227,NA())</f>
        <v>#N/A</v>
      </c>
      <c r="J227" s="37" t="e">
        <f>IF(AND(Up_Par0&gt;=0,Up_Par0&lt;=10),IF(ABS($B227-Up_Par0)&lt;=0.025,D227,NA()),NA())</f>
        <v>#N/A</v>
      </c>
      <c r="K227" s="39">
        <f>IF(MOD(124,20)=0,TEXT($B227,"0"),"")</f>
        <v/>
      </c>
    </row>
    <row r="228" spans="2:11" ht="17" customHeight="1">
      <c r="B228" s="36">
        <v>6.25</v>
      </c>
      <c r="C228" s="37">
        <f>IF((Up_Basis="Per kg H2 (kWh)"),$B228+(Up_RlL+Up_ElzL)/Ship_CargoL,($B228*Ship_CargoL+Up_RlL+Up_ElzL)/1000)</f>
        <v>17783.6856</v>
      </c>
      <c r="D228" s="37">
        <f>IF((Up_Basis="Per kg H2 (kWh)"),(Up_HB+Up_RlN+Up_ElzN)/Up_H2N,(Up_HB+Up_RlN+Up_ElzN)/1000)</f>
        <v>4897.00357142857</v>
      </c>
      <c r="E228" s="38">
        <f>IF($B228&lt;=Up_MinPara,1,0)</f>
        <v>0</v>
      </c>
      <c r="F228" s="38">
        <f>IF(AND($B228&gt;=8,$B228&lt;=9),1,0)</f>
        <v>0</v>
      </c>
      <c r="G228" s="37" t="e">
        <f>IF(ABS($B228-Up_MinNorm)&lt;=0.025,Up_YTop,NA())</f>
        <v>#N/A</v>
      </c>
      <c r="H228" s="37" t="e">
        <f>IF(ABS($B228-Up_MinPara)&lt;=0.025,Up_YTop,NA())</f>
        <v>#N/A</v>
      </c>
      <c r="I228" s="37" t="e">
        <f>IF(ABS($B228-Up_SecL)&lt;=0.025,C228,NA())</f>
        <v>#N/A</v>
      </c>
      <c r="J228" s="37" t="e">
        <f>IF(AND(Up_Par0&gt;=0,Up_Par0&lt;=10),IF(ABS($B228-Up_Par0)&lt;=0.025,D228,NA()),NA())</f>
        <v>#N/A</v>
      </c>
      <c r="K228" s="39">
        <f>IF(MOD(125,20)=0,TEXT($B228,"0"),"")</f>
        <v/>
      </c>
    </row>
    <row r="229" spans="2:11" ht="17" customHeight="1">
      <c r="B229" s="36">
        <v>6.3</v>
      </c>
      <c r="C229" s="37">
        <f>IF((Up_Basis="Per kg H2 (kWh)"),$B229+(Up_RlL+Up_ElzL)/Ship_CargoL,($B229*Ship_CargoL+Up_RlL+Up_ElzL)/1000)</f>
        <v>17925.2856</v>
      </c>
      <c r="D229" s="37">
        <f>IF((Up_Basis="Per kg H2 (kWh)"),(Up_HB+Up_RlN+Up_ElzN)/Up_H2N,(Up_HB+Up_RlN+Up_ElzN)/1000)</f>
        <v>4897.00357142857</v>
      </c>
      <c r="E229" s="38">
        <f>IF($B229&lt;=Up_MinPara,1,0)</f>
        <v>0</v>
      </c>
      <c r="F229" s="38">
        <f>IF(AND($B229&gt;=8,$B229&lt;=9),1,0)</f>
        <v>0</v>
      </c>
      <c r="G229" s="37" t="e">
        <f>IF(ABS($B229-Up_MinNorm)&lt;=0.025,Up_YTop,NA())</f>
        <v>#N/A</v>
      </c>
      <c r="H229" s="37" t="e">
        <f>IF(ABS($B229-Up_MinPara)&lt;=0.025,Up_YTop,NA())</f>
        <v>#N/A</v>
      </c>
      <c r="I229" s="37" t="e">
        <f>IF(ABS($B229-Up_SecL)&lt;=0.025,C229,NA())</f>
        <v>#N/A</v>
      </c>
      <c r="J229" s="37" t="e">
        <f>IF(AND(Up_Par0&gt;=0,Up_Par0&lt;=10),IF(ABS($B229-Up_Par0)&lt;=0.025,D229,NA()),NA())</f>
        <v>#N/A</v>
      </c>
      <c r="K229" s="39">
        <f>IF(MOD(126,20)=0,TEXT($B229,"0"),"")</f>
        <v/>
      </c>
    </row>
    <row r="230" spans="2:11" ht="17" customHeight="1">
      <c r="B230" s="36">
        <v>6.35</v>
      </c>
      <c r="C230" s="37">
        <f>IF((Up_Basis="Per kg H2 (kWh)"),$B230+(Up_RlL+Up_ElzL)/Ship_CargoL,($B230*Ship_CargoL+Up_RlL+Up_ElzL)/1000)</f>
        <v>18066.8856</v>
      </c>
      <c r="D230" s="37">
        <f>IF((Up_Basis="Per kg H2 (kWh)"),(Up_HB+Up_RlN+Up_ElzN)/Up_H2N,(Up_HB+Up_RlN+Up_ElzN)/1000)</f>
        <v>4897.00357142857</v>
      </c>
      <c r="E230" s="38">
        <f>IF($B230&lt;=Up_MinPara,1,0)</f>
        <v>0</v>
      </c>
      <c r="F230" s="38">
        <f>IF(AND($B230&gt;=8,$B230&lt;=9),1,0)</f>
        <v>0</v>
      </c>
      <c r="G230" s="37" t="e">
        <f>IF(ABS($B230-Up_MinNorm)&lt;=0.025,Up_YTop,NA())</f>
        <v>#N/A</v>
      </c>
      <c r="H230" s="37" t="e">
        <f>IF(ABS($B230-Up_MinPara)&lt;=0.025,Up_YTop,NA())</f>
        <v>#N/A</v>
      </c>
      <c r="I230" s="37" t="e">
        <f>IF(ABS($B230-Up_SecL)&lt;=0.025,C230,NA())</f>
        <v>#N/A</v>
      </c>
      <c r="J230" s="37" t="e">
        <f>IF(AND(Up_Par0&gt;=0,Up_Par0&lt;=10),IF(ABS($B230-Up_Par0)&lt;=0.025,D230,NA()),NA())</f>
        <v>#N/A</v>
      </c>
      <c r="K230" s="39">
        <f>IF(MOD(127,20)=0,TEXT($B230,"0"),"")</f>
        <v/>
      </c>
    </row>
    <row r="231" spans="2:11" ht="17" customHeight="1">
      <c r="B231" s="36">
        <v>6.4</v>
      </c>
      <c r="C231" s="37">
        <f>IF((Up_Basis="Per kg H2 (kWh)"),$B231+(Up_RlL+Up_ElzL)/Ship_CargoL,($B231*Ship_CargoL+Up_RlL+Up_ElzL)/1000)</f>
        <v>18208.4856</v>
      </c>
      <c r="D231" s="37">
        <f>IF((Up_Basis="Per kg H2 (kWh)"),(Up_HB+Up_RlN+Up_ElzN)/Up_H2N,(Up_HB+Up_RlN+Up_ElzN)/1000)</f>
        <v>4897.00357142857</v>
      </c>
      <c r="E231" s="38">
        <f>IF($B231&lt;=Up_MinPara,1,0)</f>
        <v>0</v>
      </c>
      <c r="F231" s="38">
        <f>IF(AND($B231&gt;=8,$B231&lt;=9),1,0)</f>
        <v>0</v>
      </c>
      <c r="G231" s="37" t="e">
        <f>IF(ABS($B231-Up_MinNorm)&lt;=0.025,Up_YTop,NA())</f>
        <v>#N/A</v>
      </c>
      <c r="H231" s="37" t="e">
        <f>IF(ABS($B231-Up_MinPara)&lt;=0.025,Up_YTop,NA())</f>
        <v>#N/A</v>
      </c>
      <c r="I231" s="37" t="e">
        <f>IF(ABS($B231-Up_SecL)&lt;=0.025,C231,NA())</f>
        <v>#N/A</v>
      </c>
      <c r="J231" s="37" t="e">
        <f>IF(AND(Up_Par0&gt;=0,Up_Par0&lt;=10),IF(ABS($B231-Up_Par0)&lt;=0.025,D231,NA()),NA())</f>
        <v>#N/A</v>
      </c>
      <c r="K231" s="39">
        <f>IF(MOD(128,20)=0,TEXT($B231,"0"),"")</f>
        <v/>
      </c>
    </row>
    <row r="232" spans="2:11" ht="17" customHeight="1">
      <c r="B232" s="36">
        <v>6.45</v>
      </c>
      <c r="C232" s="37">
        <f>IF((Up_Basis="Per kg H2 (kWh)"),$B232+(Up_RlL+Up_ElzL)/Ship_CargoL,($B232*Ship_CargoL+Up_RlL+Up_ElzL)/1000)</f>
        <v>18350.0856</v>
      </c>
      <c r="D232" s="37">
        <f>IF((Up_Basis="Per kg H2 (kWh)"),(Up_HB+Up_RlN+Up_ElzN)/Up_H2N,(Up_HB+Up_RlN+Up_ElzN)/1000)</f>
        <v>4897.00357142857</v>
      </c>
      <c r="E232" s="38">
        <f>IF($B232&lt;=Up_MinPara,1,0)</f>
        <v>0</v>
      </c>
      <c r="F232" s="38">
        <f>IF(AND($B232&gt;=8,$B232&lt;=9),1,0)</f>
        <v>0</v>
      </c>
      <c r="G232" s="37" t="e">
        <f>IF(ABS($B232-Up_MinNorm)&lt;=0.025,Up_YTop,NA())</f>
        <v>#N/A</v>
      </c>
      <c r="H232" s="37" t="e">
        <f>IF(ABS($B232-Up_MinPara)&lt;=0.025,Up_YTop,NA())</f>
        <v>#N/A</v>
      </c>
      <c r="I232" s="37" t="e">
        <f>IF(ABS($B232-Up_SecL)&lt;=0.025,C232,NA())</f>
        <v>#N/A</v>
      </c>
      <c r="J232" s="37" t="e">
        <f>IF(AND(Up_Par0&gt;=0,Up_Par0&lt;=10),IF(ABS($B232-Up_Par0)&lt;=0.025,D232,NA()),NA())</f>
        <v>#N/A</v>
      </c>
      <c r="K232" s="39">
        <f>IF(MOD(129,20)=0,TEXT($B232,"0"),"")</f>
        <v/>
      </c>
    </row>
    <row r="233" spans="2:11" ht="17" customHeight="1">
      <c r="B233" s="36">
        <v>6.5</v>
      </c>
      <c r="C233" s="37">
        <f>IF((Up_Basis="Per kg H2 (kWh)"),$B233+(Up_RlL+Up_ElzL)/Ship_CargoL,($B233*Ship_CargoL+Up_RlL+Up_ElzL)/1000)</f>
        <v>18491.6856</v>
      </c>
      <c r="D233" s="37">
        <f>IF((Up_Basis="Per kg H2 (kWh)"),(Up_HB+Up_RlN+Up_ElzN)/Up_H2N,(Up_HB+Up_RlN+Up_ElzN)/1000)</f>
        <v>4897.00357142857</v>
      </c>
      <c r="E233" s="38">
        <f>IF($B233&lt;=Up_MinPara,1,0)</f>
        <v>0</v>
      </c>
      <c r="F233" s="38">
        <f>IF(AND($B233&gt;=8,$B233&lt;=9),1,0)</f>
        <v>0</v>
      </c>
      <c r="G233" s="37" t="e">
        <f>IF(ABS($B233-Up_MinNorm)&lt;=0.025,Up_YTop,NA())</f>
        <v>#N/A</v>
      </c>
      <c r="H233" s="37" t="e">
        <f>IF(ABS($B233-Up_MinPara)&lt;=0.025,Up_YTop,NA())</f>
        <v>#N/A</v>
      </c>
      <c r="I233" s="37" t="e">
        <f>IF(ABS($B233-Up_SecL)&lt;=0.025,C233,NA())</f>
        <v>#N/A</v>
      </c>
      <c r="J233" s="37" t="e">
        <f>IF(AND(Up_Par0&gt;=0,Up_Par0&lt;=10),IF(ABS($B233-Up_Par0)&lt;=0.025,D233,NA()),NA())</f>
        <v>#N/A</v>
      </c>
      <c r="K233" s="39">
        <f>IF(MOD(130,20)=0,TEXT($B233,"0"),"")</f>
        <v/>
      </c>
    </row>
    <row r="234" spans="2:11" ht="17" customHeight="1">
      <c r="B234" s="36">
        <v>6.55</v>
      </c>
      <c r="C234" s="37">
        <f>IF((Up_Basis="Per kg H2 (kWh)"),$B234+(Up_RlL+Up_ElzL)/Ship_CargoL,($B234*Ship_CargoL+Up_RlL+Up_ElzL)/1000)</f>
        <v>18633.2856</v>
      </c>
      <c r="D234" s="37">
        <f>IF((Up_Basis="Per kg H2 (kWh)"),(Up_HB+Up_RlN+Up_ElzN)/Up_H2N,(Up_HB+Up_RlN+Up_ElzN)/1000)</f>
        <v>4897.00357142857</v>
      </c>
      <c r="E234" s="38">
        <f>IF($B234&lt;=Up_MinPara,1,0)</f>
        <v>0</v>
      </c>
      <c r="F234" s="38">
        <f>IF(AND($B234&gt;=8,$B234&lt;=9),1,0)</f>
        <v>0</v>
      </c>
      <c r="G234" s="37" t="e">
        <f>IF(ABS($B234-Up_MinNorm)&lt;=0.025,Up_YTop,NA())</f>
        <v>#N/A</v>
      </c>
      <c r="H234" s="37" t="e">
        <f>IF(ABS($B234-Up_MinPara)&lt;=0.025,Up_YTop,NA())</f>
        <v>#N/A</v>
      </c>
      <c r="I234" s="37" t="e">
        <f>IF(ABS($B234-Up_SecL)&lt;=0.025,C234,NA())</f>
        <v>#N/A</v>
      </c>
      <c r="J234" s="37" t="e">
        <f>IF(AND(Up_Par0&gt;=0,Up_Par0&lt;=10),IF(ABS($B234-Up_Par0)&lt;=0.025,D234,NA()),NA())</f>
        <v>#N/A</v>
      </c>
      <c r="K234" s="39">
        <f>IF(MOD(131,20)=0,TEXT($B234,"0"),"")</f>
        <v/>
      </c>
    </row>
    <row r="235" spans="2:11" ht="17" customHeight="1">
      <c r="B235" s="36">
        <v>6.6</v>
      </c>
      <c r="C235" s="37">
        <f>IF((Up_Basis="Per kg H2 (kWh)"),$B235+(Up_RlL+Up_ElzL)/Ship_CargoL,($B235*Ship_CargoL+Up_RlL+Up_ElzL)/1000)</f>
        <v>18774.8856</v>
      </c>
      <c r="D235" s="37">
        <f>IF((Up_Basis="Per kg H2 (kWh)"),(Up_HB+Up_RlN+Up_ElzN)/Up_H2N,(Up_HB+Up_RlN+Up_ElzN)/1000)</f>
        <v>4897.00357142857</v>
      </c>
      <c r="E235" s="38">
        <f>IF($B235&lt;=Up_MinPara,1,0)</f>
        <v>0</v>
      </c>
      <c r="F235" s="38">
        <f>IF(AND($B235&gt;=8,$B235&lt;=9),1,0)</f>
        <v>0</v>
      </c>
      <c r="G235" s="37" t="e">
        <f>IF(ABS($B235-Up_MinNorm)&lt;=0.025,Up_YTop,NA())</f>
        <v>#N/A</v>
      </c>
      <c r="H235" s="37" t="e">
        <f>IF(ABS($B235-Up_MinPara)&lt;=0.025,Up_YTop,NA())</f>
        <v>#N/A</v>
      </c>
      <c r="I235" s="37" t="e">
        <f>IF(ABS($B235-Up_SecL)&lt;=0.025,C235,NA())</f>
        <v>#N/A</v>
      </c>
      <c r="J235" s="37" t="e">
        <f>IF(AND(Up_Par0&gt;=0,Up_Par0&lt;=10),IF(ABS($B235-Up_Par0)&lt;=0.025,D235,NA()),NA())</f>
        <v>#N/A</v>
      </c>
      <c r="K235" s="39">
        <f>IF(MOD(132,20)=0,TEXT($B235,"0"),"")</f>
        <v/>
      </c>
    </row>
    <row r="236" spans="2:11" ht="17" customHeight="1">
      <c r="B236" s="36">
        <v>6.65</v>
      </c>
      <c r="C236" s="37">
        <f>IF((Up_Basis="Per kg H2 (kWh)"),$B236+(Up_RlL+Up_ElzL)/Ship_CargoL,($B236*Ship_CargoL+Up_RlL+Up_ElzL)/1000)</f>
        <v>18916.4856</v>
      </c>
      <c r="D236" s="37">
        <f>IF((Up_Basis="Per kg H2 (kWh)"),(Up_HB+Up_RlN+Up_ElzN)/Up_H2N,(Up_HB+Up_RlN+Up_ElzN)/1000)</f>
        <v>4897.00357142857</v>
      </c>
      <c r="E236" s="38">
        <f>IF($B236&lt;=Up_MinPara,1,0)</f>
        <v>0</v>
      </c>
      <c r="F236" s="38">
        <f>IF(AND($B236&gt;=8,$B236&lt;=9),1,0)</f>
        <v>0</v>
      </c>
      <c r="G236" s="37" t="e">
        <f>IF(ABS($B236-Up_MinNorm)&lt;=0.025,Up_YTop,NA())</f>
        <v>#N/A</v>
      </c>
      <c r="H236" s="37" t="e">
        <f>IF(ABS($B236-Up_MinPara)&lt;=0.025,Up_YTop,NA())</f>
        <v>#N/A</v>
      </c>
      <c r="I236" s="37" t="e">
        <f>IF(ABS($B236-Up_SecL)&lt;=0.025,C236,NA())</f>
        <v>#N/A</v>
      </c>
      <c r="J236" s="37" t="e">
        <f>IF(AND(Up_Par0&gt;=0,Up_Par0&lt;=10),IF(ABS($B236-Up_Par0)&lt;=0.025,D236,NA()),NA())</f>
        <v>#N/A</v>
      </c>
      <c r="K236" s="39">
        <f>IF(MOD(133,20)=0,TEXT($B236,"0"),"")</f>
        <v/>
      </c>
    </row>
    <row r="237" spans="2:11" ht="17" customHeight="1">
      <c r="B237" s="36">
        <v>6.7</v>
      </c>
      <c r="C237" s="37">
        <f>IF((Up_Basis="Per kg H2 (kWh)"),$B237+(Up_RlL+Up_ElzL)/Ship_CargoL,($B237*Ship_CargoL+Up_RlL+Up_ElzL)/1000)</f>
        <v>19058.0856</v>
      </c>
      <c r="D237" s="37">
        <f>IF((Up_Basis="Per kg H2 (kWh)"),(Up_HB+Up_RlN+Up_ElzN)/Up_H2N,(Up_HB+Up_RlN+Up_ElzN)/1000)</f>
        <v>4897.00357142857</v>
      </c>
      <c r="E237" s="38">
        <f>IF($B237&lt;=Up_MinPara,1,0)</f>
        <v>0</v>
      </c>
      <c r="F237" s="38">
        <f>IF(AND($B237&gt;=8,$B237&lt;=9),1,0)</f>
        <v>0</v>
      </c>
      <c r="G237" s="37" t="e">
        <f>IF(ABS($B237-Up_MinNorm)&lt;=0.025,Up_YTop,NA())</f>
        <v>#N/A</v>
      </c>
      <c r="H237" s="37" t="e">
        <f>IF(ABS($B237-Up_MinPara)&lt;=0.025,Up_YTop,NA())</f>
        <v>#N/A</v>
      </c>
      <c r="I237" s="37" t="e">
        <f>IF(ABS($B237-Up_SecL)&lt;=0.025,C237,NA())</f>
        <v>#N/A</v>
      </c>
      <c r="J237" s="37" t="e">
        <f>IF(AND(Up_Par0&gt;=0,Up_Par0&lt;=10),IF(ABS($B237-Up_Par0)&lt;=0.025,D237,NA()),NA())</f>
        <v>#N/A</v>
      </c>
      <c r="K237" s="39">
        <f>IF(MOD(134,20)=0,TEXT($B237,"0"),"")</f>
        <v/>
      </c>
    </row>
    <row r="238" spans="2:11" ht="17" customHeight="1">
      <c r="B238" s="36">
        <v>6.75</v>
      </c>
      <c r="C238" s="37">
        <f>IF((Up_Basis="Per kg H2 (kWh)"),$B238+(Up_RlL+Up_ElzL)/Ship_CargoL,($B238*Ship_CargoL+Up_RlL+Up_ElzL)/1000)</f>
        <v>19199.6856</v>
      </c>
      <c r="D238" s="37">
        <f>IF((Up_Basis="Per kg H2 (kWh)"),(Up_HB+Up_RlN+Up_ElzN)/Up_H2N,(Up_HB+Up_RlN+Up_ElzN)/1000)</f>
        <v>4897.00357142857</v>
      </c>
      <c r="E238" s="38">
        <f>IF($B238&lt;=Up_MinPara,1,0)</f>
        <v>0</v>
      </c>
      <c r="F238" s="38">
        <f>IF(AND($B238&gt;=8,$B238&lt;=9),1,0)</f>
        <v>0</v>
      </c>
      <c r="G238" s="37" t="e">
        <f>IF(ABS($B238-Up_MinNorm)&lt;=0.025,Up_YTop,NA())</f>
        <v>#N/A</v>
      </c>
      <c r="H238" s="37" t="e">
        <f>IF(ABS($B238-Up_MinPara)&lt;=0.025,Up_YTop,NA())</f>
        <v>#N/A</v>
      </c>
      <c r="I238" s="37" t="e">
        <f>IF(ABS($B238-Up_SecL)&lt;=0.025,C238,NA())</f>
        <v>#N/A</v>
      </c>
      <c r="J238" s="37" t="e">
        <f>IF(AND(Up_Par0&gt;=0,Up_Par0&lt;=10),IF(ABS($B238-Up_Par0)&lt;=0.025,D238,NA()),NA())</f>
        <v>#N/A</v>
      </c>
      <c r="K238" s="39">
        <f>IF(MOD(135,20)=0,TEXT($B238,"0"),"")</f>
        <v/>
      </c>
    </row>
    <row r="239" spans="2:11" ht="17" customHeight="1">
      <c r="B239" s="36">
        <v>6.8</v>
      </c>
      <c r="C239" s="37">
        <f>IF((Up_Basis="Per kg H2 (kWh)"),$B239+(Up_RlL+Up_ElzL)/Ship_CargoL,($B239*Ship_CargoL+Up_RlL+Up_ElzL)/1000)</f>
        <v>19341.2856</v>
      </c>
      <c r="D239" s="37">
        <f>IF((Up_Basis="Per kg H2 (kWh)"),(Up_HB+Up_RlN+Up_ElzN)/Up_H2N,(Up_HB+Up_RlN+Up_ElzN)/1000)</f>
        <v>4897.00357142857</v>
      </c>
      <c r="E239" s="38">
        <f>IF($B239&lt;=Up_MinPara,1,0)</f>
        <v>0</v>
      </c>
      <c r="F239" s="38">
        <f>IF(AND($B239&gt;=8,$B239&lt;=9),1,0)</f>
        <v>0</v>
      </c>
      <c r="G239" s="37" t="e">
        <f>IF(ABS($B239-Up_MinNorm)&lt;=0.025,Up_YTop,NA())</f>
        <v>#N/A</v>
      </c>
      <c r="H239" s="37" t="e">
        <f>IF(ABS($B239-Up_MinPara)&lt;=0.025,Up_YTop,NA())</f>
        <v>#N/A</v>
      </c>
      <c r="I239" s="37" t="e">
        <f>IF(ABS($B239-Up_SecL)&lt;=0.025,C239,NA())</f>
        <v>#N/A</v>
      </c>
      <c r="J239" s="37" t="e">
        <f>IF(AND(Up_Par0&gt;=0,Up_Par0&lt;=10),IF(ABS($B239-Up_Par0)&lt;=0.025,D239,NA()),NA())</f>
        <v>#N/A</v>
      </c>
      <c r="K239" s="39">
        <f>IF(MOD(136,20)=0,TEXT($B239,"0"),"")</f>
        <v/>
      </c>
    </row>
    <row r="240" spans="2:11" ht="17" customHeight="1">
      <c r="B240" s="36">
        <v>6.85</v>
      </c>
      <c r="C240" s="37">
        <f>IF((Up_Basis="Per kg H2 (kWh)"),$B240+(Up_RlL+Up_ElzL)/Ship_CargoL,($B240*Ship_CargoL+Up_RlL+Up_ElzL)/1000)</f>
        <v>19482.8856</v>
      </c>
      <c r="D240" s="37">
        <f>IF((Up_Basis="Per kg H2 (kWh)"),(Up_HB+Up_RlN+Up_ElzN)/Up_H2N,(Up_HB+Up_RlN+Up_ElzN)/1000)</f>
        <v>4897.00357142857</v>
      </c>
      <c r="E240" s="38">
        <f>IF($B240&lt;=Up_MinPara,1,0)</f>
        <v>0</v>
      </c>
      <c r="F240" s="38">
        <f>IF(AND($B240&gt;=8,$B240&lt;=9),1,0)</f>
        <v>0</v>
      </c>
      <c r="G240" s="37" t="e">
        <f>IF(ABS($B240-Up_MinNorm)&lt;=0.025,Up_YTop,NA())</f>
        <v>#N/A</v>
      </c>
      <c r="H240" s="37" t="e">
        <f>IF(ABS($B240-Up_MinPara)&lt;=0.025,Up_YTop,NA())</f>
        <v>#N/A</v>
      </c>
      <c r="I240" s="37" t="e">
        <f>IF(ABS($B240-Up_SecL)&lt;=0.025,C240,NA())</f>
        <v>#N/A</v>
      </c>
      <c r="J240" s="37" t="e">
        <f>IF(AND(Up_Par0&gt;=0,Up_Par0&lt;=10),IF(ABS($B240-Up_Par0)&lt;=0.025,D240,NA()),NA())</f>
        <v>#N/A</v>
      </c>
      <c r="K240" s="39">
        <f>IF(MOD(137,20)=0,TEXT($B240,"0"),"")</f>
        <v/>
      </c>
    </row>
    <row r="241" spans="2:11" ht="17" customHeight="1">
      <c r="B241" s="36">
        <v>6.9</v>
      </c>
      <c r="C241" s="37">
        <f>IF((Up_Basis="Per kg H2 (kWh)"),$B241+(Up_RlL+Up_ElzL)/Ship_CargoL,($B241*Ship_CargoL+Up_RlL+Up_ElzL)/1000)</f>
        <v>19624.4856</v>
      </c>
      <c r="D241" s="37">
        <f>IF((Up_Basis="Per kg H2 (kWh)"),(Up_HB+Up_RlN+Up_ElzN)/Up_H2N,(Up_HB+Up_RlN+Up_ElzN)/1000)</f>
        <v>4897.00357142857</v>
      </c>
      <c r="E241" s="38">
        <f>IF($B241&lt;=Up_MinPara,1,0)</f>
        <v>0</v>
      </c>
      <c r="F241" s="38">
        <f>IF(AND($B241&gt;=8,$B241&lt;=9),1,0)</f>
        <v>0</v>
      </c>
      <c r="G241" s="37" t="e">
        <f>IF(ABS($B241-Up_MinNorm)&lt;=0.025,Up_YTop,NA())</f>
        <v>#N/A</v>
      </c>
      <c r="H241" s="37" t="e">
        <f>IF(ABS($B241-Up_MinPara)&lt;=0.025,Up_YTop,NA())</f>
        <v>#N/A</v>
      </c>
      <c r="I241" s="37" t="e">
        <f>IF(ABS($B241-Up_SecL)&lt;=0.025,C241,NA())</f>
        <v>#N/A</v>
      </c>
      <c r="J241" s="37" t="e">
        <f>IF(AND(Up_Par0&gt;=0,Up_Par0&lt;=10),IF(ABS($B241-Up_Par0)&lt;=0.025,D241,NA()),NA())</f>
        <v>#N/A</v>
      </c>
      <c r="K241" s="39">
        <f>IF(MOD(138,20)=0,TEXT($B241,"0"),"")</f>
        <v/>
      </c>
    </row>
    <row r="242" spans="2:11" ht="17" customHeight="1">
      <c r="B242" s="36">
        <v>6.95</v>
      </c>
      <c r="C242" s="37">
        <f>IF((Up_Basis="Per kg H2 (kWh)"),$B242+(Up_RlL+Up_ElzL)/Ship_CargoL,($B242*Ship_CargoL+Up_RlL+Up_ElzL)/1000)</f>
        <v>19766.0856</v>
      </c>
      <c r="D242" s="37">
        <f>IF((Up_Basis="Per kg H2 (kWh)"),(Up_HB+Up_RlN+Up_ElzN)/Up_H2N,(Up_HB+Up_RlN+Up_ElzN)/1000)</f>
        <v>4897.00357142857</v>
      </c>
      <c r="E242" s="38">
        <f>IF($B242&lt;=Up_MinPara,1,0)</f>
        <v>0</v>
      </c>
      <c r="F242" s="38">
        <f>IF(AND($B242&gt;=8,$B242&lt;=9),1,0)</f>
        <v>0</v>
      </c>
      <c r="G242" s="37" t="e">
        <f>IF(ABS($B242-Up_MinNorm)&lt;=0.025,Up_YTop,NA())</f>
        <v>#N/A</v>
      </c>
      <c r="H242" s="37" t="e">
        <f>IF(ABS($B242-Up_MinPara)&lt;=0.025,Up_YTop,NA())</f>
        <v>#N/A</v>
      </c>
      <c r="I242" s="37" t="e">
        <f>IF(ABS($B242-Up_SecL)&lt;=0.025,C242,NA())</f>
        <v>#N/A</v>
      </c>
      <c r="J242" s="37" t="e">
        <f>IF(AND(Up_Par0&gt;=0,Up_Par0&lt;=10),IF(ABS($B242-Up_Par0)&lt;=0.025,D242,NA()),NA())</f>
        <v>#N/A</v>
      </c>
      <c r="K242" s="39">
        <f>IF(MOD(139,20)=0,TEXT($B242,"0"),"")</f>
        <v/>
      </c>
    </row>
    <row r="243" spans="2:11" ht="17" customHeight="1">
      <c r="B243" s="36">
        <v>7</v>
      </c>
      <c r="C243" s="37">
        <f>IF((Up_Basis="Per kg H2 (kWh)"),$B243+(Up_RlL+Up_ElzL)/Ship_CargoL,($B243*Ship_CargoL+Up_RlL+Up_ElzL)/1000)</f>
        <v>19907.6856</v>
      </c>
      <c r="D243" s="37">
        <f>IF((Up_Basis="Per kg H2 (kWh)"),(Up_HB+Up_RlN+Up_ElzN)/Up_H2N,(Up_HB+Up_RlN+Up_ElzN)/1000)</f>
        <v>4897.00357142857</v>
      </c>
      <c r="E243" s="38">
        <f>IF($B243&lt;=Up_MinPara,1,0)</f>
        <v>0</v>
      </c>
      <c r="F243" s="38">
        <f>IF(AND($B243&gt;=8,$B243&lt;=9),1,0)</f>
        <v>0</v>
      </c>
      <c r="G243" s="37" t="e">
        <f>IF(ABS($B243-Up_MinNorm)&lt;=0.025,Up_YTop,NA())</f>
        <v>#N/A</v>
      </c>
      <c r="H243" s="37" t="e">
        <f>IF(ABS($B243-Up_MinPara)&lt;=0.025,Up_YTop,NA())</f>
        <v>#N/A</v>
      </c>
      <c r="I243" s="37" t="e">
        <f>IF(ABS($B243-Up_SecL)&lt;=0.025,C243,NA())</f>
        <v>#N/A</v>
      </c>
      <c r="J243" s="37" t="e">
        <f>IF(AND(Up_Par0&gt;=0,Up_Par0&lt;=10),IF(ABS($B243-Up_Par0)&lt;=0.025,D243,NA()),NA())</f>
        <v>#N/A</v>
      </c>
      <c r="K243" s="39" t="str">
        <f>IF(MOD(140,20)=0,TEXT($B243,"0"),"")</f>
        <v>7</v>
      </c>
    </row>
    <row r="244" spans="2:11" ht="17" customHeight="1">
      <c r="B244" s="36">
        <v>7.05</v>
      </c>
      <c r="C244" s="37">
        <f>IF((Up_Basis="Per kg H2 (kWh)"),$B244+(Up_RlL+Up_ElzL)/Ship_CargoL,($B244*Ship_CargoL+Up_RlL+Up_ElzL)/1000)</f>
        <v>20049.2856</v>
      </c>
      <c r="D244" s="37">
        <f>IF((Up_Basis="Per kg H2 (kWh)"),(Up_HB+Up_RlN+Up_ElzN)/Up_H2N,(Up_HB+Up_RlN+Up_ElzN)/1000)</f>
        <v>4897.00357142857</v>
      </c>
      <c r="E244" s="38">
        <f>IF($B244&lt;=Up_MinPara,1,0)</f>
        <v>0</v>
      </c>
      <c r="F244" s="38">
        <f>IF(AND($B244&gt;=8,$B244&lt;=9),1,0)</f>
        <v>0</v>
      </c>
      <c r="G244" s="37" t="e">
        <f>IF(ABS($B244-Up_MinNorm)&lt;=0.025,Up_YTop,NA())</f>
        <v>#N/A</v>
      </c>
      <c r="H244" s="37" t="e">
        <f>IF(ABS($B244-Up_MinPara)&lt;=0.025,Up_YTop,NA())</f>
        <v>#N/A</v>
      </c>
      <c r="I244" s="37" t="e">
        <f>IF(ABS($B244-Up_SecL)&lt;=0.025,C244,NA())</f>
        <v>#N/A</v>
      </c>
      <c r="J244" s="37" t="e">
        <f>IF(AND(Up_Par0&gt;=0,Up_Par0&lt;=10),IF(ABS($B244-Up_Par0)&lt;=0.025,D244,NA()),NA())</f>
        <v>#N/A</v>
      </c>
      <c r="K244" s="39">
        <f>IF(MOD(141,20)=0,TEXT($B244,"0"),"")</f>
        <v/>
      </c>
    </row>
    <row r="245" spans="2:11" ht="17" customHeight="1">
      <c r="B245" s="36">
        <v>7.1</v>
      </c>
      <c r="C245" s="37">
        <f>IF((Up_Basis="Per kg H2 (kWh)"),$B245+(Up_RlL+Up_ElzL)/Ship_CargoL,($B245*Ship_CargoL+Up_RlL+Up_ElzL)/1000)</f>
        <v>20190.8856</v>
      </c>
      <c r="D245" s="37">
        <f>IF((Up_Basis="Per kg H2 (kWh)"),(Up_HB+Up_RlN+Up_ElzN)/Up_H2N,(Up_HB+Up_RlN+Up_ElzN)/1000)</f>
        <v>4897.00357142857</v>
      </c>
      <c r="E245" s="38">
        <f>IF($B245&lt;=Up_MinPara,1,0)</f>
        <v>0</v>
      </c>
      <c r="F245" s="38">
        <f>IF(AND($B245&gt;=8,$B245&lt;=9),1,0)</f>
        <v>0</v>
      </c>
      <c r="G245" s="37" t="e">
        <f>IF(ABS($B245-Up_MinNorm)&lt;=0.025,Up_YTop,NA())</f>
        <v>#N/A</v>
      </c>
      <c r="H245" s="37" t="e">
        <f>IF(ABS($B245-Up_MinPara)&lt;=0.025,Up_YTop,NA())</f>
        <v>#N/A</v>
      </c>
      <c r="I245" s="37" t="e">
        <f>IF(ABS($B245-Up_SecL)&lt;=0.025,C245,NA())</f>
        <v>#N/A</v>
      </c>
      <c r="J245" s="37" t="e">
        <f>IF(AND(Up_Par0&gt;=0,Up_Par0&lt;=10),IF(ABS($B245-Up_Par0)&lt;=0.025,D245,NA()),NA())</f>
        <v>#N/A</v>
      </c>
      <c r="K245" s="39">
        <f>IF(MOD(142,20)=0,TEXT($B245,"0"),"")</f>
        <v/>
      </c>
    </row>
    <row r="246" spans="2:11" ht="17" customHeight="1">
      <c r="B246" s="36">
        <v>7.15</v>
      </c>
      <c r="C246" s="37">
        <f>IF((Up_Basis="Per kg H2 (kWh)"),$B246+(Up_RlL+Up_ElzL)/Ship_CargoL,($B246*Ship_CargoL+Up_RlL+Up_ElzL)/1000)</f>
        <v>20332.4856</v>
      </c>
      <c r="D246" s="37">
        <f>IF((Up_Basis="Per kg H2 (kWh)"),(Up_HB+Up_RlN+Up_ElzN)/Up_H2N,(Up_HB+Up_RlN+Up_ElzN)/1000)</f>
        <v>4897.00357142857</v>
      </c>
      <c r="E246" s="38">
        <f>IF($B246&lt;=Up_MinPara,1,0)</f>
        <v>0</v>
      </c>
      <c r="F246" s="38">
        <f>IF(AND($B246&gt;=8,$B246&lt;=9),1,0)</f>
        <v>0</v>
      </c>
      <c r="G246" s="37" t="e">
        <f>IF(ABS($B246-Up_MinNorm)&lt;=0.025,Up_YTop,NA())</f>
        <v>#N/A</v>
      </c>
      <c r="H246" s="37" t="e">
        <f>IF(ABS($B246-Up_MinPara)&lt;=0.025,Up_YTop,NA())</f>
        <v>#N/A</v>
      </c>
      <c r="I246" s="37" t="e">
        <f>IF(ABS($B246-Up_SecL)&lt;=0.025,C246,NA())</f>
        <v>#N/A</v>
      </c>
      <c r="J246" s="37" t="e">
        <f>IF(AND(Up_Par0&gt;=0,Up_Par0&lt;=10),IF(ABS($B246-Up_Par0)&lt;=0.025,D246,NA()),NA())</f>
        <v>#N/A</v>
      </c>
      <c r="K246" s="39">
        <f>IF(MOD(143,20)=0,TEXT($B246,"0"),"")</f>
        <v/>
      </c>
    </row>
    <row r="247" spans="2:11" ht="17" customHeight="1">
      <c r="B247" s="36">
        <v>7.2</v>
      </c>
      <c r="C247" s="37">
        <f>IF((Up_Basis="Per kg H2 (kWh)"),$B247+(Up_RlL+Up_ElzL)/Ship_CargoL,($B247*Ship_CargoL+Up_RlL+Up_ElzL)/1000)</f>
        <v>20474.0856</v>
      </c>
      <c r="D247" s="37">
        <f>IF((Up_Basis="Per kg H2 (kWh)"),(Up_HB+Up_RlN+Up_ElzN)/Up_H2N,(Up_HB+Up_RlN+Up_ElzN)/1000)</f>
        <v>4897.00357142857</v>
      </c>
      <c r="E247" s="38">
        <f>IF($B247&lt;=Up_MinPara,1,0)</f>
        <v>0</v>
      </c>
      <c r="F247" s="38">
        <f>IF(AND($B247&gt;=8,$B247&lt;=9),1,0)</f>
        <v>0</v>
      </c>
      <c r="G247" s="37" t="e">
        <f>IF(ABS($B247-Up_MinNorm)&lt;=0.025,Up_YTop,NA())</f>
        <v>#N/A</v>
      </c>
      <c r="H247" s="37" t="e">
        <f>IF(ABS($B247-Up_MinPara)&lt;=0.025,Up_YTop,NA())</f>
        <v>#N/A</v>
      </c>
      <c r="I247" s="37" t="e">
        <f>IF(ABS($B247-Up_SecL)&lt;=0.025,C247,NA())</f>
        <v>#N/A</v>
      </c>
      <c r="J247" s="37" t="e">
        <f>IF(AND(Up_Par0&gt;=0,Up_Par0&lt;=10),IF(ABS($B247-Up_Par0)&lt;=0.025,D247,NA()),NA())</f>
        <v>#N/A</v>
      </c>
      <c r="K247" s="39">
        <f>IF(MOD(144,20)=0,TEXT($B247,"0"),"")</f>
        <v/>
      </c>
    </row>
    <row r="248" spans="2:11" ht="17" customHeight="1">
      <c r="B248" s="36">
        <v>7.25</v>
      </c>
      <c r="C248" s="37">
        <f>IF((Up_Basis="Per kg H2 (kWh)"),$B248+(Up_RlL+Up_ElzL)/Ship_CargoL,($B248*Ship_CargoL+Up_RlL+Up_ElzL)/1000)</f>
        <v>20615.6856</v>
      </c>
      <c r="D248" s="37">
        <f>IF((Up_Basis="Per kg H2 (kWh)"),(Up_HB+Up_RlN+Up_ElzN)/Up_H2N,(Up_HB+Up_RlN+Up_ElzN)/1000)</f>
        <v>4897.00357142857</v>
      </c>
      <c r="E248" s="38">
        <f>IF($B248&lt;=Up_MinPara,1,0)</f>
        <v>0</v>
      </c>
      <c r="F248" s="38">
        <f>IF(AND($B248&gt;=8,$B248&lt;=9),1,0)</f>
        <v>0</v>
      </c>
      <c r="G248" s="37" t="e">
        <f>IF(ABS($B248-Up_MinNorm)&lt;=0.025,Up_YTop,NA())</f>
        <v>#N/A</v>
      </c>
      <c r="H248" s="37" t="e">
        <f>IF(ABS($B248-Up_MinPara)&lt;=0.025,Up_YTop,NA())</f>
        <v>#N/A</v>
      </c>
      <c r="I248" s="37" t="e">
        <f>IF(ABS($B248-Up_SecL)&lt;=0.025,C248,NA())</f>
        <v>#N/A</v>
      </c>
      <c r="J248" s="37" t="e">
        <f>IF(AND(Up_Par0&gt;=0,Up_Par0&lt;=10),IF(ABS($B248-Up_Par0)&lt;=0.025,D248,NA()),NA())</f>
        <v>#N/A</v>
      </c>
      <c r="K248" s="39">
        <f>IF(MOD(145,20)=0,TEXT($B248,"0"),"")</f>
        <v/>
      </c>
    </row>
    <row r="249" spans="2:11" ht="17" customHeight="1">
      <c r="B249" s="36">
        <v>7.3</v>
      </c>
      <c r="C249" s="37">
        <f>IF((Up_Basis="Per kg H2 (kWh)"),$B249+(Up_RlL+Up_ElzL)/Ship_CargoL,($B249*Ship_CargoL+Up_RlL+Up_ElzL)/1000)</f>
        <v>20757.2856</v>
      </c>
      <c r="D249" s="37">
        <f>IF((Up_Basis="Per kg H2 (kWh)"),(Up_HB+Up_RlN+Up_ElzN)/Up_H2N,(Up_HB+Up_RlN+Up_ElzN)/1000)</f>
        <v>4897.00357142857</v>
      </c>
      <c r="E249" s="38">
        <f>IF($B249&lt;=Up_MinPara,1,0)</f>
        <v>0</v>
      </c>
      <c r="F249" s="38">
        <f>IF(AND($B249&gt;=8,$B249&lt;=9),1,0)</f>
        <v>0</v>
      </c>
      <c r="G249" s="37" t="e">
        <f>IF(ABS($B249-Up_MinNorm)&lt;=0.025,Up_YTop,NA())</f>
        <v>#N/A</v>
      </c>
      <c r="H249" s="37" t="e">
        <f>IF(ABS($B249-Up_MinPara)&lt;=0.025,Up_YTop,NA())</f>
        <v>#N/A</v>
      </c>
      <c r="I249" s="37" t="e">
        <f>IF(ABS($B249-Up_SecL)&lt;=0.025,C249,NA())</f>
        <v>#N/A</v>
      </c>
      <c r="J249" s="37" t="e">
        <f>IF(AND(Up_Par0&gt;=0,Up_Par0&lt;=10),IF(ABS($B249-Up_Par0)&lt;=0.025,D249,NA()),NA())</f>
        <v>#N/A</v>
      </c>
      <c r="K249" s="39">
        <f>IF(MOD(146,20)=0,TEXT($B249,"0"),"")</f>
        <v/>
      </c>
    </row>
    <row r="250" spans="2:11" ht="17" customHeight="1">
      <c r="B250" s="36">
        <v>7.35</v>
      </c>
      <c r="C250" s="37">
        <f>IF((Up_Basis="Per kg H2 (kWh)"),$B250+(Up_RlL+Up_ElzL)/Ship_CargoL,($B250*Ship_CargoL+Up_RlL+Up_ElzL)/1000)</f>
        <v>20898.8856</v>
      </c>
      <c r="D250" s="37">
        <f>IF((Up_Basis="Per kg H2 (kWh)"),(Up_HB+Up_RlN+Up_ElzN)/Up_H2N,(Up_HB+Up_RlN+Up_ElzN)/1000)</f>
        <v>4897.00357142857</v>
      </c>
      <c r="E250" s="38">
        <f>IF($B250&lt;=Up_MinPara,1,0)</f>
        <v>0</v>
      </c>
      <c r="F250" s="38">
        <f>IF(AND($B250&gt;=8,$B250&lt;=9),1,0)</f>
        <v>0</v>
      </c>
      <c r="G250" s="37" t="e">
        <f>IF(ABS($B250-Up_MinNorm)&lt;=0.025,Up_YTop,NA())</f>
        <v>#N/A</v>
      </c>
      <c r="H250" s="37" t="e">
        <f>IF(ABS($B250-Up_MinPara)&lt;=0.025,Up_YTop,NA())</f>
        <v>#N/A</v>
      </c>
      <c r="I250" s="37" t="e">
        <f>IF(ABS($B250-Up_SecL)&lt;=0.025,C250,NA())</f>
        <v>#N/A</v>
      </c>
      <c r="J250" s="37" t="e">
        <f>IF(AND(Up_Par0&gt;=0,Up_Par0&lt;=10),IF(ABS($B250-Up_Par0)&lt;=0.025,D250,NA()),NA())</f>
        <v>#N/A</v>
      </c>
      <c r="K250" s="39">
        <f>IF(MOD(147,20)=0,TEXT($B250,"0"),"")</f>
        <v/>
      </c>
    </row>
    <row r="251" spans="2:11" ht="17" customHeight="1">
      <c r="B251" s="36">
        <v>7.4</v>
      </c>
      <c r="C251" s="37">
        <f>IF((Up_Basis="Per kg H2 (kWh)"),$B251+(Up_RlL+Up_ElzL)/Ship_CargoL,($B251*Ship_CargoL+Up_RlL+Up_ElzL)/1000)</f>
        <v>21040.4856</v>
      </c>
      <c r="D251" s="37">
        <f>IF((Up_Basis="Per kg H2 (kWh)"),(Up_HB+Up_RlN+Up_ElzN)/Up_H2N,(Up_HB+Up_RlN+Up_ElzN)/1000)</f>
        <v>4897.00357142857</v>
      </c>
      <c r="E251" s="38">
        <f>IF($B251&lt;=Up_MinPara,1,0)</f>
        <v>0</v>
      </c>
      <c r="F251" s="38">
        <f>IF(AND($B251&gt;=8,$B251&lt;=9),1,0)</f>
        <v>0</v>
      </c>
      <c r="G251" s="37" t="e">
        <f>IF(ABS($B251-Up_MinNorm)&lt;=0.025,Up_YTop,NA())</f>
        <v>#N/A</v>
      </c>
      <c r="H251" s="37" t="e">
        <f>IF(ABS($B251-Up_MinPara)&lt;=0.025,Up_YTop,NA())</f>
        <v>#N/A</v>
      </c>
      <c r="I251" s="37" t="e">
        <f>IF(ABS($B251-Up_SecL)&lt;=0.025,C251,NA())</f>
        <v>#N/A</v>
      </c>
      <c r="J251" s="37" t="e">
        <f>IF(AND(Up_Par0&gt;=0,Up_Par0&lt;=10),IF(ABS($B251-Up_Par0)&lt;=0.025,D251,NA()),NA())</f>
        <v>#N/A</v>
      </c>
      <c r="K251" s="39">
        <f>IF(MOD(148,20)=0,TEXT($B251,"0"),"")</f>
        <v/>
      </c>
    </row>
    <row r="252" spans="2:11" ht="17" customHeight="1">
      <c r="B252" s="36">
        <v>7.45</v>
      </c>
      <c r="C252" s="37">
        <f>IF((Up_Basis="Per kg H2 (kWh)"),$B252+(Up_RlL+Up_ElzL)/Ship_CargoL,($B252*Ship_CargoL+Up_RlL+Up_ElzL)/1000)</f>
        <v>21182.0856</v>
      </c>
      <c r="D252" s="37">
        <f>IF((Up_Basis="Per kg H2 (kWh)"),(Up_HB+Up_RlN+Up_ElzN)/Up_H2N,(Up_HB+Up_RlN+Up_ElzN)/1000)</f>
        <v>4897.00357142857</v>
      </c>
      <c r="E252" s="38">
        <f>IF($B252&lt;=Up_MinPara,1,0)</f>
        <v>0</v>
      </c>
      <c r="F252" s="38">
        <f>IF(AND($B252&gt;=8,$B252&lt;=9),1,0)</f>
        <v>0</v>
      </c>
      <c r="G252" s="37" t="e">
        <f>IF(ABS($B252-Up_MinNorm)&lt;=0.025,Up_YTop,NA())</f>
        <v>#N/A</v>
      </c>
      <c r="H252" s="37" t="e">
        <f>IF(ABS($B252-Up_MinPara)&lt;=0.025,Up_YTop,NA())</f>
        <v>#N/A</v>
      </c>
      <c r="I252" s="37" t="e">
        <f>IF(ABS($B252-Up_SecL)&lt;=0.025,C252,NA())</f>
        <v>#N/A</v>
      </c>
      <c r="J252" s="37" t="e">
        <f>IF(AND(Up_Par0&gt;=0,Up_Par0&lt;=10),IF(ABS($B252-Up_Par0)&lt;=0.025,D252,NA()),NA())</f>
        <v>#N/A</v>
      </c>
      <c r="K252" s="39">
        <f>IF(MOD(149,20)=0,TEXT($B252,"0"),"")</f>
        <v/>
      </c>
    </row>
    <row r="253" spans="2:11" ht="17" customHeight="1">
      <c r="B253" s="36">
        <v>7.5</v>
      </c>
      <c r="C253" s="37">
        <f>IF((Up_Basis="Per kg H2 (kWh)"),$B253+(Up_RlL+Up_ElzL)/Ship_CargoL,($B253*Ship_CargoL+Up_RlL+Up_ElzL)/1000)</f>
        <v>21323.6856</v>
      </c>
      <c r="D253" s="37">
        <f>IF((Up_Basis="Per kg H2 (kWh)"),(Up_HB+Up_RlN+Up_ElzN)/Up_H2N,(Up_HB+Up_RlN+Up_ElzN)/1000)</f>
        <v>4897.00357142857</v>
      </c>
      <c r="E253" s="38">
        <f>IF($B253&lt;=Up_MinPara,1,0)</f>
        <v>0</v>
      </c>
      <c r="F253" s="38">
        <f>IF(AND($B253&gt;=8,$B253&lt;=9),1,0)</f>
        <v>0</v>
      </c>
      <c r="G253" s="37" t="e">
        <f>IF(ABS($B253-Up_MinNorm)&lt;=0.025,Up_YTop,NA())</f>
        <v>#N/A</v>
      </c>
      <c r="H253" s="37" t="e">
        <f>IF(ABS($B253-Up_MinPara)&lt;=0.025,Up_YTop,NA())</f>
        <v>#N/A</v>
      </c>
      <c r="I253" s="37" t="e">
        <f>IF(ABS($B253-Up_SecL)&lt;=0.025,C253,NA())</f>
        <v>#N/A</v>
      </c>
      <c r="J253" s="37" t="e">
        <f>IF(AND(Up_Par0&gt;=0,Up_Par0&lt;=10),IF(ABS($B253-Up_Par0)&lt;=0.025,D253,NA()),NA())</f>
        <v>#N/A</v>
      </c>
      <c r="K253" s="39">
        <f>IF(MOD(150,20)=0,TEXT($B253,"0"),"")</f>
        <v/>
      </c>
    </row>
    <row r="254" spans="2:11" ht="17" customHeight="1">
      <c r="B254" s="36">
        <v>7.55</v>
      </c>
      <c r="C254" s="37">
        <f>IF((Up_Basis="Per kg H2 (kWh)"),$B254+(Up_RlL+Up_ElzL)/Ship_CargoL,($B254*Ship_CargoL+Up_RlL+Up_ElzL)/1000)</f>
        <v>21465.2856</v>
      </c>
      <c r="D254" s="37">
        <f>IF((Up_Basis="Per kg H2 (kWh)"),(Up_HB+Up_RlN+Up_ElzN)/Up_H2N,(Up_HB+Up_RlN+Up_ElzN)/1000)</f>
        <v>4897.00357142857</v>
      </c>
      <c r="E254" s="38">
        <f>IF($B254&lt;=Up_MinPara,1,0)</f>
        <v>0</v>
      </c>
      <c r="F254" s="38">
        <f>IF(AND($B254&gt;=8,$B254&lt;=9),1,0)</f>
        <v>0</v>
      </c>
      <c r="G254" s="37" t="e">
        <f>IF(ABS($B254-Up_MinNorm)&lt;=0.025,Up_YTop,NA())</f>
        <v>#N/A</v>
      </c>
      <c r="H254" s="37" t="e">
        <f>IF(ABS($B254-Up_MinPara)&lt;=0.025,Up_YTop,NA())</f>
        <v>#N/A</v>
      </c>
      <c r="I254" s="37" t="e">
        <f>IF(ABS($B254-Up_SecL)&lt;=0.025,C254,NA())</f>
        <v>#N/A</v>
      </c>
      <c r="J254" s="37" t="e">
        <f>IF(AND(Up_Par0&gt;=0,Up_Par0&lt;=10),IF(ABS($B254-Up_Par0)&lt;=0.025,D254,NA()),NA())</f>
        <v>#N/A</v>
      </c>
      <c r="K254" s="39">
        <f>IF(MOD(151,20)=0,TEXT($B254,"0"),"")</f>
        <v/>
      </c>
    </row>
    <row r="255" spans="2:11" ht="17" customHeight="1">
      <c r="B255" s="36">
        <v>7.6</v>
      </c>
      <c r="C255" s="37">
        <f>IF((Up_Basis="Per kg H2 (kWh)"),$B255+(Up_RlL+Up_ElzL)/Ship_CargoL,($B255*Ship_CargoL+Up_RlL+Up_ElzL)/1000)</f>
        <v>21606.8856</v>
      </c>
      <c r="D255" s="37">
        <f>IF((Up_Basis="Per kg H2 (kWh)"),(Up_HB+Up_RlN+Up_ElzN)/Up_H2N,(Up_HB+Up_RlN+Up_ElzN)/1000)</f>
        <v>4897.00357142857</v>
      </c>
      <c r="E255" s="38">
        <f>IF($B255&lt;=Up_MinPara,1,0)</f>
        <v>0</v>
      </c>
      <c r="F255" s="38">
        <f>IF(AND($B255&gt;=8,$B255&lt;=9),1,0)</f>
        <v>0</v>
      </c>
      <c r="G255" s="37" t="e">
        <f>IF(ABS($B255-Up_MinNorm)&lt;=0.025,Up_YTop,NA())</f>
        <v>#N/A</v>
      </c>
      <c r="H255" s="37" t="e">
        <f>IF(ABS($B255-Up_MinPara)&lt;=0.025,Up_YTop,NA())</f>
        <v>#N/A</v>
      </c>
      <c r="I255" s="37" t="e">
        <f>IF(ABS($B255-Up_SecL)&lt;=0.025,C255,NA())</f>
        <v>#N/A</v>
      </c>
      <c r="J255" s="37" t="e">
        <f>IF(AND(Up_Par0&gt;=0,Up_Par0&lt;=10),IF(ABS($B255-Up_Par0)&lt;=0.025,D255,NA()),NA())</f>
        <v>#N/A</v>
      </c>
      <c r="K255" s="39">
        <f>IF(MOD(152,20)=0,TEXT($B255,"0"),"")</f>
        <v/>
      </c>
    </row>
    <row r="256" spans="2:11" ht="17" customHeight="1">
      <c r="B256" s="36">
        <v>7.65</v>
      </c>
      <c r="C256" s="37">
        <f>IF((Up_Basis="Per kg H2 (kWh)"),$B256+(Up_RlL+Up_ElzL)/Ship_CargoL,($B256*Ship_CargoL+Up_RlL+Up_ElzL)/1000)</f>
        <v>21748.4856</v>
      </c>
      <c r="D256" s="37">
        <f>IF((Up_Basis="Per kg H2 (kWh)"),(Up_HB+Up_RlN+Up_ElzN)/Up_H2N,(Up_HB+Up_RlN+Up_ElzN)/1000)</f>
        <v>4897.00357142857</v>
      </c>
      <c r="E256" s="38">
        <f>IF($B256&lt;=Up_MinPara,1,0)</f>
        <v>0</v>
      </c>
      <c r="F256" s="38">
        <f>IF(AND($B256&gt;=8,$B256&lt;=9),1,0)</f>
        <v>0</v>
      </c>
      <c r="G256" s="37" t="e">
        <f>IF(ABS($B256-Up_MinNorm)&lt;=0.025,Up_YTop,NA())</f>
        <v>#N/A</v>
      </c>
      <c r="H256" s="37" t="e">
        <f>IF(ABS($B256-Up_MinPara)&lt;=0.025,Up_YTop,NA())</f>
        <v>#N/A</v>
      </c>
      <c r="I256" s="37" t="e">
        <f>IF(ABS($B256-Up_SecL)&lt;=0.025,C256,NA())</f>
        <v>#N/A</v>
      </c>
      <c r="J256" s="37" t="e">
        <f>IF(AND(Up_Par0&gt;=0,Up_Par0&lt;=10),IF(ABS($B256-Up_Par0)&lt;=0.025,D256,NA()),NA())</f>
        <v>#N/A</v>
      </c>
      <c r="K256" s="39">
        <f>IF(MOD(153,20)=0,TEXT($B256,"0"),"")</f>
        <v/>
      </c>
    </row>
    <row r="257" spans="2:11" ht="17" customHeight="1">
      <c r="B257" s="36">
        <v>7.7</v>
      </c>
      <c r="C257" s="37">
        <f>IF((Up_Basis="Per kg H2 (kWh)"),$B257+(Up_RlL+Up_ElzL)/Ship_CargoL,($B257*Ship_CargoL+Up_RlL+Up_ElzL)/1000)</f>
        <v>21890.0856</v>
      </c>
      <c r="D257" s="37">
        <f>IF((Up_Basis="Per kg H2 (kWh)"),(Up_HB+Up_RlN+Up_ElzN)/Up_H2N,(Up_HB+Up_RlN+Up_ElzN)/1000)</f>
        <v>4897.00357142857</v>
      </c>
      <c r="E257" s="38">
        <f>IF($B257&lt;=Up_MinPara,1,0)</f>
        <v>0</v>
      </c>
      <c r="F257" s="38">
        <f>IF(AND($B257&gt;=8,$B257&lt;=9),1,0)</f>
        <v>0</v>
      </c>
      <c r="G257" s="37" t="e">
        <f>IF(ABS($B257-Up_MinNorm)&lt;=0.025,Up_YTop,NA())</f>
        <v>#N/A</v>
      </c>
      <c r="H257" s="37" t="e">
        <f>IF(ABS($B257-Up_MinPara)&lt;=0.025,Up_YTop,NA())</f>
        <v>#N/A</v>
      </c>
      <c r="I257" s="37" t="e">
        <f>IF(ABS($B257-Up_SecL)&lt;=0.025,C257,NA())</f>
        <v>#N/A</v>
      </c>
      <c r="J257" s="37" t="e">
        <f>IF(AND(Up_Par0&gt;=0,Up_Par0&lt;=10),IF(ABS($B257-Up_Par0)&lt;=0.025,D257,NA()),NA())</f>
        <v>#N/A</v>
      </c>
      <c r="K257" s="39">
        <f>IF(MOD(154,20)=0,TEXT($B257,"0"),"")</f>
        <v/>
      </c>
    </row>
    <row r="258" spans="2:11" ht="17" customHeight="1">
      <c r="B258" s="36">
        <v>7.75</v>
      </c>
      <c r="C258" s="37">
        <f>IF((Up_Basis="Per kg H2 (kWh)"),$B258+(Up_RlL+Up_ElzL)/Ship_CargoL,($B258*Ship_CargoL+Up_RlL+Up_ElzL)/1000)</f>
        <v>22031.6856</v>
      </c>
      <c r="D258" s="37">
        <f>IF((Up_Basis="Per kg H2 (kWh)"),(Up_HB+Up_RlN+Up_ElzN)/Up_H2N,(Up_HB+Up_RlN+Up_ElzN)/1000)</f>
        <v>4897.00357142857</v>
      </c>
      <c r="E258" s="38">
        <f>IF($B258&lt;=Up_MinPara,1,0)</f>
        <v>0</v>
      </c>
      <c r="F258" s="38">
        <f>IF(AND($B258&gt;=8,$B258&lt;=9),1,0)</f>
        <v>0</v>
      </c>
      <c r="G258" s="37" t="e">
        <f>IF(ABS($B258-Up_MinNorm)&lt;=0.025,Up_YTop,NA())</f>
        <v>#N/A</v>
      </c>
      <c r="H258" s="37" t="e">
        <f>IF(ABS($B258-Up_MinPara)&lt;=0.025,Up_YTop,NA())</f>
        <v>#N/A</v>
      </c>
      <c r="I258" s="37" t="e">
        <f>IF(ABS($B258-Up_SecL)&lt;=0.025,C258,NA())</f>
        <v>#N/A</v>
      </c>
      <c r="J258" s="37" t="e">
        <f>IF(AND(Up_Par0&gt;=0,Up_Par0&lt;=10),IF(ABS($B258-Up_Par0)&lt;=0.025,D258,NA()),NA())</f>
        <v>#N/A</v>
      </c>
      <c r="K258" s="39">
        <f>IF(MOD(155,20)=0,TEXT($B258,"0"),"")</f>
        <v/>
      </c>
    </row>
    <row r="259" spans="2:11" ht="17" customHeight="1">
      <c r="B259" s="36">
        <v>7.8</v>
      </c>
      <c r="C259" s="37">
        <f>IF((Up_Basis="Per kg H2 (kWh)"),$B259+(Up_RlL+Up_ElzL)/Ship_CargoL,($B259*Ship_CargoL+Up_RlL+Up_ElzL)/1000)</f>
        <v>22173.2856</v>
      </c>
      <c r="D259" s="37">
        <f>IF((Up_Basis="Per kg H2 (kWh)"),(Up_HB+Up_RlN+Up_ElzN)/Up_H2N,(Up_HB+Up_RlN+Up_ElzN)/1000)</f>
        <v>4897.00357142857</v>
      </c>
      <c r="E259" s="38">
        <f>IF($B259&lt;=Up_MinPara,1,0)</f>
        <v>0</v>
      </c>
      <c r="F259" s="38">
        <f>IF(AND($B259&gt;=8,$B259&lt;=9),1,0)</f>
        <v>0</v>
      </c>
      <c r="G259" s="37" t="e">
        <f>IF(ABS($B259-Up_MinNorm)&lt;=0.025,Up_YTop,NA())</f>
        <v>#N/A</v>
      </c>
      <c r="H259" s="37" t="e">
        <f>IF(ABS($B259-Up_MinPara)&lt;=0.025,Up_YTop,NA())</f>
        <v>#N/A</v>
      </c>
      <c r="I259" s="37" t="e">
        <f>IF(ABS($B259-Up_SecL)&lt;=0.025,C259,NA())</f>
        <v>#N/A</v>
      </c>
      <c r="J259" s="37" t="e">
        <f>IF(AND(Up_Par0&gt;=0,Up_Par0&lt;=10),IF(ABS($B259-Up_Par0)&lt;=0.025,D259,NA()),NA())</f>
        <v>#N/A</v>
      </c>
      <c r="K259" s="39">
        <f>IF(MOD(156,20)=0,TEXT($B259,"0"),"")</f>
        <v/>
      </c>
    </row>
    <row r="260" spans="2:11" ht="17" customHeight="1">
      <c r="B260" s="36">
        <v>7.85</v>
      </c>
      <c r="C260" s="37">
        <f>IF((Up_Basis="Per kg H2 (kWh)"),$B260+(Up_RlL+Up_ElzL)/Ship_CargoL,($B260*Ship_CargoL+Up_RlL+Up_ElzL)/1000)</f>
        <v>22314.8856</v>
      </c>
      <c r="D260" s="37">
        <f>IF((Up_Basis="Per kg H2 (kWh)"),(Up_HB+Up_RlN+Up_ElzN)/Up_H2N,(Up_HB+Up_RlN+Up_ElzN)/1000)</f>
        <v>4897.00357142857</v>
      </c>
      <c r="E260" s="38">
        <f>IF($B260&lt;=Up_MinPara,1,0)</f>
        <v>0</v>
      </c>
      <c r="F260" s="38">
        <f>IF(AND($B260&gt;=8,$B260&lt;=9),1,0)</f>
        <v>0</v>
      </c>
      <c r="G260" s="37" t="e">
        <f>IF(ABS($B260-Up_MinNorm)&lt;=0.025,Up_YTop,NA())</f>
        <v>#N/A</v>
      </c>
      <c r="H260" s="37" t="e">
        <f>IF(ABS($B260-Up_MinPara)&lt;=0.025,Up_YTop,NA())</f>
        <v>#N/A</v>
      </c>
      <c r="I260" s="37" t="e">
        <f>IF(ABS($B260-Up_SecL)&lt;=0.025,C260,NA())</f>
        <v>#N/A</v>
      </c>
      <c r="J260" s="37" t="e">
        <f>IF(AND(Up_Par0&gt;=0,Up_Par0&lt;=10),IF(ABS($B260-Up_Par0)&lt;=0.025,D260,NA()),NA())</f>
        <v>#N/A</v>
      </c>
      <c r="K260" s="39">
        <f>IF(MOD(157,20)=0,TEXT($B260,"0"),"")</f>
        <v/>
      </c>
    </row>
    <row r="261" spans="2:11" ht="17" customHeight="1">
      <c r="B261" s="36">
        <v>7.9</v>
      </c>
      <c r="C261" s="37">
        <f>IF((Up_Basis="Per kg H2 (kWh)"),$B261+(Up_RlL+Up_ElzL)/Ship_CargoL,($B261*Ship_CargoL+Up_RlL+Up_ElzL)/1000)</f>
        <v>22456.4856</v>
      </c>
      <c r="D261" s="37">
        <f>IF((Up_Basis="Per kg H2 (kWh)"),(Up_HB+Up_RlN+Up_ElzN)/Up_H2N,(Up_HB+Up_RlN+Up_ElzN)/1000)</f>
        <v>4897.00357142857</v>
      </c>
      <c r="E261" s="38">
        <f>IF($B261&lt;=Up_MinPara,1,0)</f>
        <v>0</v>
      </c>
      <c r="F261" s="38">
        <f>IF(AND($B261&gt;=8,$B261&lt;=9),1,0)</f>
        <v>0</v>
      </c>
      <c r="G261" s="37" t="e">
        <f>IF(ABS($B261-Up_MinNorm)&lt;=0.025,Up_YTop,NA())</f>
        <v>#N/A</v>
      </c>
      <c r="H261" s="37" t="e">
        <f>IF(ABS($B261-Up_MinPara)&lt;=0.025,Up_YTop,NA())</f>
        <v>#N/A</v>
      </c>
      <c r="I261" s="37" t="e">
        <f>IF(ABS($B261-Up_SecL)&lt;=0.025,C261,NA())</f>
        <v>#N/A</v>
      </c>
      <c r="J261" s="37" t="e">
        <f>IF(AND(Up_Par0&gt;=0,Up_Par0&lt;=10),IF(ABS($B261-Up_Par0)&lt;=0.025,D261,NA()),NA())</f>
        <v>#N/A</v>
      </c>
      <c r="K261" s="39">
        <f>IF(MOD(158,20)=0,TEXT($B261,"0"),"")</f>
        <v/>
      </c>
    </row>
    <row r="262" spans="2:11" ht="17" customHeight="1">
      <c r="B262" s="36">
        <v>7.95</v>
      </c>
      <c r="C262" s="37">
        <f>IF((Up_Basis="Per kg H2 (kWh)"),$B262+(Up_RlL+Up_ElzL)/Ship_CargoL,($B262*Ship_CargoL+Up_RlL+Up_ElzL)/1000)</f>
        <v>22598.0856</v>
      </c>
      <c r="D262" s="37">
        <f>IF((Up_Basis="Per kg H2 (kWh)"),(Up_HB+Up_RlN+Up_ElzN)/Up_H2N,(Up_HB+Up_RlN+Up_ElzN)/1000)</f>
        <v>4897.00357142857</v>
      </c>
      <c r="E262" s="38">
        <f>IF($B262&lt;=Up_MinPara,1,0)</f>
        <v>0</v>
      </c>
      <c r="F262" s="38">
        <f>IF(AND($B262&gt;=8,$B262&lt;=9),1,0)</f>
        <v>0</v>
      </c>
      <c r="G262" s="37" t="e">
        <f>IF(ABS($B262-Up_MinNorm)&lt;=0.025,Up_YTop,NA())</f>
        <v>#N/A</v>
      </c>
      <c r="H262" s="37" t="e">
        <f>IF(ABS($B262-Up_MinPara)&lt;=0.025,Up_YTop,NA())</f>
        <v>#N/A</v>
      </c>
      <c r="I262" s="37" t="e">
        <f>IF(ABS($B262-Up_SecL)&lt;=0.025,C262,NA())</f>
        <v>#N/A</v>
      </c>
      <c r="J262" s="37" t="e">
        <f>IF(AND(Up_Par0&gt;=0,Up_Par0&lt;=10),IF(ABS($B262-Up_Par0)&lt;=0.025,D262,NA()),NA())</f>
        <v>#N/A</v>
      </c>
      <c r="K262" s="39">
        <f>IF(MOD(159,20)=0,TEXT($B262,"0"),"")</f>
        <v/>
      </c>
    </row>
    <row r="263" spans="2:11" ht="17" customHeight="1">
      <c r="B263" s="36">
        <v>8</v>
      </c>
      <c r="C263" s="37">
        <f>IF((Up_Basis="Per kg H2 (kWh)"),$B263+(Up_RlL+Up_ElzL)/Ship_CargoL,($B263*Ship_CargoL+Up_RlL+Up_ElzL)/1000)</f>
        <v>22739.6856</v>
      </c>
      <c r="D263" s="37">
        <f>IF((Up_Basis="Per kg H2 (kWh)"),(Up_HB+Up_RlN+Up_ElzN)/Up_H2N,(Up_HB+Up_RlN+Up_ElzN)/1000)</f>
        <v>4897.00357142857</v>
      </c>
      <c r="E263" s="38">
        <f>IF($B263&lt;=Up_MinPara,1,0)</f>
        <v>0</v>
      </c>
      <c r="F263" s="38">
        <f>IF(AND($B263&gt;=8,$B263&lt;=9),1,0)</f>
        <v>1</v>
      </c>
      <c r="G263" s="37" t="e">
        <f>IF(ABS($B263-Up_MinNorm)&lt;=0.025,Up_YTop,NA())</f>
        <v>#N/A</v>
      </c>
      <c r="H263" s="37" t="e">
        <f>IF(ABS($B263-Up_MinPara)&lt;=0.025,Up_YTop,NA())</f>
        <v>#N/A</v>
      </c>
      <c r="I263" s="37" t="e">
        <f>IF(ABS($B263-Up_SecL)&lt;=0.025,C263,NA())</f>
        <v>#N/A</v>
      </c>
      <c r="J263" s="37" t="e">
        <f>IF(AND(Up_Par0&gt;=0,Up_Par0&lt;=10),IF(ABS($B263-Up_Par0)&lt;=0.025,D263,NA()),NA())</f>
        <v>#N/A</v>
      </c>
      <c r="K263" s="39" t="str">
        <f>IF(MOD(160,20)=0,TEXT($B263,"0"),"")</f>
        <v>8</v>
      </c>
    </row>
    <row r="264" spans="2:11" ht="17" customHeight="1">
      <c r="B264" s="36">
        <v>8.050000000000001</v>
      </c>
      <c r="C264" s="37">
        <f>IF((Up_Basis="Per kg H2 (kWh)"),$B264+(Up_RlL+Up_ElzL)/Ship_CargoL,($B264*Ship_CargoL+Up_RlL+Up_ElzL)/1000)</f>
        <v>22881.2856</v>
      </c>
      <c r="D264" s="37">
        <f>IF((Up_Basis="Per kg H2 (kWh)"),(Up_HB+Up_RlN+Up_ElzN)/Up_H2N,(Up_HB+Up_RlN+Up_ElzN)/1000)</f>
        <v>4897.00357142857</v>
      </c>
      <c r="E264" s="38">
        <f>IF($B264&lt;=Up_MinPara,1,0)</f>
        <v>0</v>
      </c>
      <c r="F264" s="38">
        <f>IF(AND($B264&gt;=8,$B264&lt;=9),1,0)</f>
        <v>1</v>
      </c>
      <c r="G264" s="37" t="e">
        <f>IF(ABS($B264-Up_MinNorm)&lt;=0.025,Up_YTop,NA())</f>
        <v>#N/A</v>
      </c>
      <c r="H264" s="37" t="e">
        <f>IF(ABS($B264-Up_MinPara)&lt;=0.025,Up_YTop,NA())</f>
        <v>#N/A</v>
      </c>
      <c r="I264" s="37" t="e">
        <f>IF(ABS($B264-Up_SecL)&lt;=0.025,C264,NA())</f>
        <v>#N/A</v>
      </c>
      <c r="J264" s="37" t="e">
        <f>IF(AND(Up_Par0&gt;=0,Up_Par0&lt;=10),IF(ABS($B264-Up_Par0)&lt;=0.025,D264,NA()),NA())</f>
        <v>#N/A</v>
      </c>
      <c r="K264" s="39">
        <f>IF(MOD(161,20)=0,TEXT($B264,"0"),"")</f>
        <v/>
      </c>
    </row>
    <row r="265" spans="2:11" ht="17" customHeight="1">
      <c r="B265" s="36">
        <v>8.1</v>
      </c>
      <c r="C265" s="37">
        <f>IF((Up_Basis="Per kg H2 (kWh)"),$B265+(Up_RlL+Up_ElzL)/Ship_CargoL,($B265*Ship_CargoL+Up_RlL+Up_ElzL)/1000)</f>
        <v>23022.8856</v>
      </c>
      <c r="D265" s="37">
        <f>IF((Up_Basis="Per kg H2 (kWh)"),(Up_HB+Up_RlN+Up_ElzN)/Up_H2N,(Up_HB+Up_RlN+Up_ElzN)/1000)</f>
        <v>4897.00357142857</v>
      </c>
      <c r="E265" s="38">
        <f>IF($B265&lt;=Up_MinPara,1,0)</f>
        <v>0</v>
      </c>
      <c r="F265" s="38">
        <f>IF(AND($B265&gt;=8,$B265&lt;=9),1,0)</f>
        <v>1</v>
      </c>
      <c r="G265" s="37" t="e">
        <f>IF(ABS($B265-Up_MinNorm)&lt;=0.025,Up_YTop,NA())</f>
        <v>#N/A</v>
      </c>
      <c r="H265" s="37" t="e">
        <f>IF(ABS($B265-Up_MinPara)&lt;=0.025,Up_YTop,NA())</f>
        <v>#N/A</v>
      </c>
      <c r="I265" s="37" t="e">
        <f>IF(ABS($B265-Up_SecL)&lt;=0.025,C265,NA())</f>
        <v>#N/A</v>
      </c>
      <c r="J265" s="37" t="e">
        <f>IF(AND(Up_Par0&gt;=0,Up_Par0&lt;=10),IF(ABS($B265-Up_Par0)&lt;=0.025,D265,NA()),NA())</f>
        <v>#N/A</v>
      </c>
      <c r="K265" s="39">
        <f>IF(MOD(162,20)=0,TEXT($B265,"0"),"")</f>
        <v/>
      </c>
    </row>
    <row r="266" spans="2:11" ht="17" customHeight="1">
      <c r="B266" s="36">
        <v>8.15</v>
      </c>
      <c r="C266" s="37">
        <f>IF((Up_Basis="Per kg H2 (kWh)"),$B266+(Up_RlL+Up_ElzL)/Ship_CargoL,($B266*Ship_CargoL+Up_RlL+Up_ElzL)/1000)</f>
        <v>23164.4856</v>
      </c>
      <c r="D266" s="37">
        <f>IF((Up_Basis="Per kg H2 (kWh)"),(Up_HB+Up_RlN+Up_ElzN)/Up_H2N,(Up_HB+Up_RlN+Up_ElzN)/1000)</f>
        <v>4897.00357142857</v>
      </c>
      <c r="E266" s="38">
        <f>IF($B266&lt;=Up_MinPara,1,0)</f>
        <v>0</v>
      </c>
      <c r="F266" s="38">
        <f>IF(AND($B266&gt;=8,$B266&lt;=9),1,0)</f>
        <v>1</v>
      </c>
      <c r="G266" s="37" t="e">
        <f>IF(ABS($B266-Up_MinNorm)&lt;=0.025,Up_YTop,NA())</f>
        <v>#N/A</v>
      </c>
      <c r="H266" s="37" t="e">
        <f>IF(ABS($B266-Up_MinPara)&lt;=0.025,Up_YTop,NA())</f>
        <v>#N/A</v>
      </c>
      <c r="I266" s="37" t="e">
        <f>IF(ABS($B266-Up_SecL)&lt;=0.025,C266,NA())</f>
        <v>#N/A</v>
      </c>
      <c r="J266" s="37" t="e">
        <f>IF(AND(Up_Par0&gt;=0,Up_Par0&lt;=10),IF(ABS($B266-Up_Par0)&lt;=0.025,D266,NA()),NA())</f>
        <v>#N/A</v>
      </c>
      <c r="K266" s="39">
        <f>IF(MOD(163,20)=0,TEXT($B266,"0"),"")</f>
        <v/>
      </c>
    </row>
    <row r="267" spans="2:11" ht="17" customHeight="1">
      <c r="B267" s="36">
        <v>8.199999999999999</v>
      </c>
      <c r="C267" s="37">
        <f>IF((Up_Basis="Per kg H2 (kWh)"),$B267+(Up_RlL+Up_ElzL)/Ship_CargoL,($B267*Ship_CargoL+Up_RlL+Up_ElzL)/1000)</f>
        <v>23306.0856</v>
      </c>
      <c r="D267" s="37">
        <f>IF((Up_Basis="Per kg H2 (kWh)"),(Up_HB+Up_RlN+Up_ElzN)/Up_H2N,(Up_HB+Up_RlN+Up_ElzN)/1000)</f>
        <v>4897.00357142857</v>
      </c>
      <c r="E267" s="38">
        <f>IF($B267&lt;=Up_MinPara,1,0)</f>
        <v>0</v>
      </c>
      <c r="F267" s="38">
        <f>IF(AND($B267&gt;=8,$B267&lt;=9),1,0)</f>
        <v>1</v>
      </c>
      <c r="G267" s="37" t="e">
        <f>IF(ABS($B267-Up_MinNorm)&lt;=0.025,Up_YTop,NA())</f>
        <v>#N/A</v>
      </c>
      <c r="H267" s="37" t="e">
        <f>IF(ABS($B267-Up_MinPara)&lt;=0.025,Up_YTop,NA())</f>
        <v>#N/A</v>
      </c>
      <c r="I267" s="37" t="e">
        <f>IF(ABS($B267-Up_SecL)&lt;=0.025,C267,NA())</f>
        <v>#N/A</v>
      </c>
      <c r="J267" s="37" t="e">
        <f>IF(AND(Up_Par0&gt;=0,Up_Par0&lt;=10),IF(ABS($B267-Up_Par0)&lt;=0.025,D267,NA()),NA())</f>
        <v>#N/A</v>
      </c>
      <c r="K267" s="39">
        <f>IF(MOD(164,20)=0,TEXT($B267,"0"),"")</f>
        <v/>
      </c>
    </row>
    <row r="268" spans="2:11" ht="17" customHeight="1">
      <c r="B268" s="36">
        <v>8.25</v>
      </c>
      <c r="C268" s="37">
        <f>IF((Up_Basis="Per kg H2 (kWh)"),$B268+(Up_RlL+Up_ElzL)/Ship_CargoL,($B268*Ship_CargoL+Up_RlL+Up_ElzL)/1000)</f>
        <v>23447.6856</v>
      </c>
      <c r="D268" s="37">
        <f>IF((Up_Basis="Per kg H2 (kWh)"),(Up_HB+Up_RlN+Up_ElzN)/Up_H2N,(Up_HB+Up_RlN+Up_ElzN)/1000)</f>
        <v>4897.00357142857</v>
      </c>
      <c r="E268" s="38">
        <f>IF($B268&lt;=Up_MinPara,1,0)</f>
        <v>0</v>
      </c>
      <c r="F268" s="38">
        <f>IF(AND($B268&gt;=8,$B268&lt;=9),1,0)</f>
        <v>1</v>
      </c>
      <c r="G268" s="37" t="e">
        <f>IF(ABS($B268-Up_MinNorm)&lt;=0.025,Up_YTop,NA())</f>
        <v>#N/A</v>
      </c>
      <c r="H268" s="37" t="e">
        <f>IF(ABS($B268-Up_MinPara)&lt;=0.025,Up_YTop,NA())</f>
        <v>#N/A</v>
      </c>
      <c r="I268" s="37" t="e">
        <f>IF(ABS($B268-Up_SecL)&lt;=0.025,C268,NA())</f>
        <v>#N/A</v>
      </c>
      <c r="J268" s="37" t="e">
        <f>IF(AND(Up_Par0&gt;=0,Up_Par0&lt;=10),IF(ABS($B268-Up_Par0)&lt;=0.025,D268,NA()),NA())</f>
        <v>#N/A</v>
      </c>
      <c r="K268" s="39">
        <f>IF(MOD(165,20)=0,TEXT($B268,"0"),"")</f>
        <v/>
      </c>
    </row>
    <row r="269" spans="2:11" ht="17" customHeight="1">
      <c r="B269" s="36">
        <v>8.300000000000001</v>
      </c>
      <c r="C269" s="37">
        <f>IF((Up_Basis="Per kg H2 (kWh)"),$B269+(Up_RlL+Up_ElzL)/Ship_CargoL,($B269*Ship_CargoL+Up_RlL+Up_ElzL)/1000)</f>
        <v>23589.2856</v>
      </c>
      <c r="D269" s="37">
        <f>IF((Up_Basis="Per kg H2 (kWh)"),(Up_HB+Up_RlN+Up_ElzN)/Up_H2N,(Up_HB+Up_RlN+Up_ElzN)/1000)</f>
        <v>4897.00357142857</v>
      </c>
      <c r="E269" s="38">
        <f>IF($B269&lt;=Up_MinPara,1,0)</f>
        <v>0</v>
      </c>
      <c r="F269" s="38">
        <f>IF(AND($B269&gt;=8,$B269&lt;=9),1,0)</f>
        <v>1</v>
      </c>
      <c r="G269" s="37" t="e">
        <f>IF(ABS($B269-Up_MinNorm)&lt;=0.025,Up_YTop,NA())</f>
        <v>#N/A</v>
      </c>
      <c r="H269" s="37" t="e">
        <f>IF(ABS($B269-Up_MinPara)&lt;=0.025,Up_YTop,NA())</f>
        <v>#N/A</v>
      </c>
      <c r="I269" s="37" t="e">
        <f>IF(ABS($B269-Up_SecL)&lt;=0.025,C269,NA())</f>
        <v>#N/A</v>
      </c>
      <c r="J269" s="37" t="e">
        <f>IF(AND(Up_Par0&gt;=0,Up_Par0&lt;=10),IF(ABS($B269-Up_Par0)&lt;=0.025,D269,NA()),NA())</f>
        <v>#N/A</v>
      </c>
      <c r="K269" s="39">
        <f>IF(MOD(166,20)=0,TEXT($B269,"0"),"")</f>
        <v/>
      </c>
    </row>
    <row r="270" spans="2:11" ht="17" customHeight="1">
      <c r="B270" s="36">
        <v>8.35</v>
      </c>
      <c r="C270" s="37">
        <f>IF((Up_Basis="Per kg H2 (kWh)"),$B270+(Up_RlL+Up_ElzL)/Ship_CargoL,($B270*Ship_CargoL+Up_RlL+Up_ElzL)/1000)</f>
        <v>23730.8856</v>
      </c>
      <c r="D270" s="37">
        <f>IF((Up_Basis="Per kg H2 (kWh)"),(Up_HB+Up_RlN+Up_ElzN)/Up_H2N,(Up_HB+Up_RlN+Up_ElzN)/1000)</f>
        <v>4897.00357142857</v>
      </c>
      <c r="E270" s="38">
        <f>IF($B270&lt;=Up_MinPara,1,0)</f>
        <v>0</v>
      </c>
      <c r="F270" s="38">
        <f>IF(AND($B270&gt;=8,$B270&lt;=9),1,0)</f>
        <v>1</v>
      </c>
      <c r="G270" s="37" t="e">
        <f>IF(ABS($B270-Up_MinNorm)&lt;=0.025,Up_YTop,NA())</f>
        <v>#N/A</v>
      </c>
      <c r="H270" s="37" t="e">
        <f>IF(ABS($B270-Up_MinPara)&lt;=0.025,Up_YTop,NA())</f>
        <v>#N/A</v>
      </c>
      <c r="I270" s="37" t="e">
        <f>IF(ABS($B270-Up_SecL)&lt;=0.025,C270,NA())</f>
        <v>#N/A</v>
      </c>
      <c r="J270" s="37" t="e">
        <f>IF(AND(Up_Par0&gt;=0,Up_Par0&lt;=10),IF(ABS($B270-Up_Par0)&lt;=0.025,D270,NA()),NA())</f>
        <v>#N/A</v>
      </c>
      <c r="K270" s="39">
        <f>IF(MOD(167,20)=0,TEXT($B270,"0"),"")</f>
        <v/>
      </c>
    </row>
    <row r="271" spans="2:11" ht="17" customHeight="1">
      <c r="B271" s="36">
        <v>8.4</v>
      </c>
      <c r="C271" s="37">
        <f>IF((Up_Basis="Per kg H2 (kWh)"),$B271+(Up_RlL+Up_ElzL)/Ship_CargoL,($B271*Ship_CargoL+Up_RlL+Up_ElzL)/1000)</f>
        <v>23872.4856</v>
      </c>
      <c r="D271" s="37">
        <f>IF((Up_Basis="Per kg H2 (kWh)"),(Up_HB+Up_RlN+Up_ElzN)/Up_H2N,(Up_HB+Up_RlN+Up_ElzN)/1000)</f>
        <v>4897.00357142857</v>
      </c>
      <c r="E271" s="38">
        <f>IF($B271&lt;=Up_MinPara,1,0)</f>
        <v>0</v>
      </c>
      <c r="F271" s="38">
        <f>IF(AND($B271&gt;=8,$B271&lt;=9),1,0)</f>
        <v>1</v>
      </c>
      <c r="G271" s="37" t="e">
        <f>IF(ABS($B271-Up_MinNorm)&lt;=0.025,Up_YTop,NA())</f>
        <v>#N/A</v>
      </c>
      <c r="H271" s="37" t="e">
        <f>IF(ABS($B271-Up_MinPara)&lt;=0.025,Up_YTop,NA())</f>
        <v>#N/A</v>
      </c>
      <c r="I271" s="37" t="e">
        <f>IF(ABS($B271-Up_SecL)&lt;=0.025,C271,NA())</f>
        <v>#N/A</v>
      </c>
      <c r="J271" s="37" t="e">
        <f>IF(AND(Up_Par0&gt;=0,Up_Par0&lt;=10),IF(ABS($B271-Up_Par0)&lt;=0.025,D271,NA()),NA())</f>
        <v>#N/A</v>
      </c>
      <c r="K271" s="39">
        <f>IF(MOD(168,20)=0,TEXT($B271,"0"),"")</f>
        <v/>
      </c>
    </row>
    <row r="272" spans="2:11" ht="17" customHeight="1">
      <c r="B272" s="36">
        <v>8.449999999999999</v>
      </c>
      <c r="C272" s="37">
        <f>IF((Up_Basis="Per kg H2 (kWh)"),$B272+(Up_RlL+Up_ElzL)/Ship_CargoL,($B272*Ship_CargoL+Up_RlL+Up_ElzL)/1000)</f>
        <v>24014.0856</v>
      </c>
      <c r="D272" s="37">
        <f>IF((Up_Basis="Per kg H2 (kWh)"),(Up_HB+Up_RlN+Up_ElzN)/Up_H2N,(Up_HB+Up_RlN+Up_ElzN)/1000)</f>
        <v>4897.00357142857</v>
      </c>
      <c r="E272" s="38">
        <f>IF($B272&lt;=Up_MinPara,1,0)</f>
        <v>0</v>
      </c>
      <c r="F272" s="38">
        <f>IF(AND($B272&gt;=8,$B272&lt;=9),1,0)</f>
        <v>1</v>
      </c>
      <c r="G272" s="37" t="e">
        <f>IF(ABS($B272-Up_MinNorm)&lt;=0.025,Up_YTop,NA())</f>
        <v>#N/A</v>
      </c>
      <c r="H272" s="37" t="e">
        <f>IF(ABS($B272-Up_MinPara)&lt;=0.025,Up_YTop,NA())</f>
        <v>#N/A</v>
      </c>
      <c r="I272" s="37" t="e">
        <f>IF(ABS($B272-Up_SecL)&lt;=0.025,C272,NA())</f>
        <v>#N/A</v>
      </c>
      <c r="J272" s="37" t="e">
        <f>IF(AND(Up_Par0&gt;=0,Up_Par0&lt;=10),IF(ABS($B272-Up_Par0)&lt;=0.025,D272,NA()),NA())</f>
        <v>#N/A</v>
      </c>
      <c r="K272" s="39">
        <f>IF(MOD(169,20)=0,TEXT($B272,"0"),"")</f>
        <v/>
      </c>
    </row>
    <row r="273" spans="2:11" ht="17" customHeight="1">
      <c r="B273" s="36">
        <v>8.5</v>
      </c>
      <c r="C273" s="37">
        <f>IF((Up_Basis="Per kg H2 (kWh)"),$B273+(Up_RlL+Up_ElzL)/Ship_CargoL,($B273*Ship_CargoL+Up_RlL+Up_ElzL)/1000)</f>
        <v>24155.6856</v>
      </c>
      <c r="D273" s="37">
        <f>IF((Up_Basis="Per kg H2 (kWh)"),(Up_HB+Up_RlN+Up_ElzN)/Up_H2N,(Up_HB+Up_RlN+Up_ElzN)/1000)</f>
        <v>4897.00357142857</v>
      </c>
      <c r="E273" s="38">
        <f>IF($B273&lt;=Up_MinPara,1,0)</f>
        <v>0</v>
      </c>
      <c r="F273" s="38">
        <f>IF(AND($B273&gt;=8,$B273&lt;=9),1,0)</f>
        <v>1</v>
      </c>
      <c r="G273" s="37" t="e">
        <f>IF(ABS($B273-Up_MinNorm)&lt;=0.025,Up_YTop,NA())</f>
        <v>#N/A</v>
      </c>
      <c r="H273" s="37" t="e">
        <f>IF(ABS($B273-Up_MinPara)&lt;=0.025,Up_YTop,NA())</f>
        <v>#N/A</v>
      </c>
      <c r="I273" s="37" t="e">
        <f>IF(ABS($B273-Up_SecL)&lt;=0.025,C273,NA())</f>
        <v>#N/A</v>
      </c>
      <c r="J273" s="37" t="e">
        <f>IF(AND(Up_Par0&gt;=0,Up_Par0&lt;=10),IF(ABS($B273-Up_Par0)&lt;=0.025,D273,NA()),NA())</f>
        <v>#N/A</v>
      </c>
      <c r="K273" s="39">
        <f>IF(MOD(170,20)=0,TEXT($B273,"0"),"")</f>
        <v/>
      </c>
    </row>
    <row r="274" spans="2:11" ht="17" customHeight="1">
      <c r="B274" s="36">
        <v>8.550000000000001</v>
      </c>
      <c r="C274" s="37">
        <f>IF((Up_Basis="Per kg H2 (kWh)"),$B274+(Up_RlL+Up_ElzL)/Ship_CargoL,($B274*Ship_CargoL+Up_RlL+Up_ElzL)/1000)</f>
        <v>24297.2856</v>
      </c>
      <c r="D274" s="37">
        <f>IF((Up_Basis="Per kg H2 (kWh)"),(Up_HB+Up_RlN+Up_ElzN)/Up_H2N,(Up_HB+Up_RlN+Up_ElzN)/1000)</f>
        <v>4897.00357142857</v>
      </c>
      <c r="E274" s="38">
        <f>IF($B274&lt;=Up_MinPara,1,0)</f>
        <v>0</v>
      </c>
      <c r="F274" s="38">
        <f>IF(AND($B274&gt;=8,$B274&lt;=9),1,0)</f>
        <v>1</v>
      </c>
      <c r="G274" s="37" t="e">
        <f>IF(ABS($B274-Up_MinNorm)&lt;=0.025,Up_YTop,NA())</f>
        <v>#N/A</v>
      </c>
      <c r="H274" s="37" t="e">
        <f>IF(ABS($B274-Up_MinPara)&lt;=0.025,Up_YTop,NA())</f>
        <v>#N/A</v>
      </c>
      <c r="I274" s="37" t="e">
        <f>IF(ABS($B274-Up_SecL)&lt;=0.025,C274,NA())</f>
        <v>#N/A</v>
      </c>
      <c r="J274" s="37" t="e">
        <f>IF(AND(Up_Par0&gt;=0,Up_Par0&lt;=10),IF(ABS($B274-Up_Par0)&lt;=0.025,D274,NA()),NA())</f>
        <v>#N/A</v>
      </c>
      <c r="K274" s="39">
        <f>IF(MOD(171,20)=0,TEXT($B274,"0"),"")</f>
        <v/>
      </c>
    </row>
    <row r="275" spans="2:11" ht="17" customHeight="1">
      <c r="B275" s="36">
        <v>8.6</v>
      </c>
      <c r="C275" s="37">
        <f>IF((Up_Basis="Per kg H2 (kWh)"),$B275+(Up_RlL+Up_ElzL)/Ship_CargoL,($B275*Ship_CargoL+Up_RlL+Up_ElzL)/1000)</f>
        <v>24438.8856</v>
      </c>
      <c r="D275" s="37">
        <f>IF((Up_Basis="Per kg H2 (kWh)"),(Up_HB+Up_RlN+Up_ElzN)/Up_H2N,(Up_HB+Up_RlN+Up_ElzN)/1000)</f>
        <v>4897.00357142857</v>
      </c>
      <c r="E275" s="38">
        <f>IF($B275&lt;=Up_MinPara,1,0)</f>
        <v>0</v>
      </c>
      <c r="F275" s="38">
        <f>IF(AND($B275&gt;=8,$B275&lt;=9),1,0)</f>
        <v>1</v>
      </c>
      <c r="G275" s="37" t="e">
        <f>IF(ABS($B275-Up_MinNorm)&lt;=0.025,Up_YTop,NA())</f>
        <v>#N/A</v>
      </c>
      <c r="H275" s="37" t="e">
        <f>IF(ABS($B275-Up_MinPara)&lt;=0.025,Up_YTop,NA())</f>
        <v>#N/A</v>
      </c>
      <c r="I275" s="37" t="e">
        <f>IF(ABS($B275-Up_SecL)&lt;=0.025,C275,NA())</f>
        <v>#N/A</v>
      </c>
      <c r="J275" s="37" t="e">
        <f>IF(AND(Up_Par0&gt;=0,Up_Par0&lt;=10),IF(ABS($B275-Up_Par0)&lt;=0.025,D275,NA()),NA())</f>
        <v>#N/A</v>
      </c>
      <c r="K275" s="39">
        <f>IF(MOD(172,20)=0,TEXT($B275,"0"),"")</f>
        <v/>
      </c>
    </row>
    <row r="276" spans="2:11" ht="17" customHeight="1">
      <c r="B276" s="36">
        <v>8.65</v>
      </c>
      <c r="C276" s="37">
        <f>IF((Up_Basis="Per kg H2 (kWh)"),$B276+(Up_RlL+Up_ElzL)/Ship_CargoL,($B276*Ship_CargoL+Up_RlL+Up_ElzL)/1000)</f>
        <v>24580.4856</v>
      </c>
      <c r="D276" s="37">
        <f>IF((Up_Basis="Per kg H2 (kWh)"),(Up_HB+Up_RlN+Up_ElzN)/Up_H2N,(Up_HB+Up_RlN+Up_ElzN)/1000)</f>
        <v>4897.00357142857</v>
      </c>
      <c r="E276" s="38">
        <f>IF($B276&lt;=Up_MinPara,1,0)</f>
        <v>0</v>
      </c>
      <c r="F276" s="38">
        <f>IF(AND($B276&gt;=8,$B276&lt;=9),1,0)</f>
        <v>1</v>
      </c>
      <c r="G276" s="37" t="e">
        <f>IF(ABS($B276-Up_MinNorm)&lt;=0.025,Up_YTop,NA())</f>
        <v>#N/A</v>
      </c>
      <c r="H276" s="37" t="e">
        <f>IF(ABS($B276-Up_MinPara)&lt;=0.025,Up_YTop,NA())</f>
        <v>#N/A</v>
      </c>
      <c r="I276" s="37" t="e">
        <f>IF(ABS($B276-Up_SecL)&lt;=0.025,C276,NA())</f>
        <v>#N/A</v>
      </c>
      <c r="J276" s="37" t="e">
        <f>IF(AND(Up_Par0&gt;=0,Up_Par0&lt;=10),IF(ABS($B276-Up_Par0)&lt;=0.025,D276,NA()),NA())</f>
        <v>#N/A</v>
      </c>
      <c r="K276" s="39">
        <f>IF(MOD(173,20)=0,TEXT($B276,"0"),"")</f>
        <v/>
      </c>
    </row>
    <row r="277" spans="2:11" ht="17" customHeight="1">
      <c r="B277" s="36">
        <v>8.699999999999999</v>
      </c>
      <c r="C277" s="37">
        <f>IF((Up_Basis="Per kg H2 (kWh)"),$B277+(Up_RlL+Up_ElzL)/Ship_CargoL,($B277*Ship_CargoL+Up_RlL+Up_ElzL)/1000)</f>
        <v>24722.0856</v>
      </c>
      <c r="D277" s="37">
        <f>IF((Up_Basis="Per kg H2 (kWh)"),(Up_HB+Up_RlN+Up_ElzN)/Up_H2N,(Up_HB+Up_RlN+Up_ElzN)/1000)</f>
        <v>4897.00357142857</v>
      </c>
      <c r="E277" s="38">
        <f>IF($B277&lt;=Up_MinPara,1,0)</f>
        <v>0</v>
      </c>
      <c r="F277" s="38">
        <f>IF(AND($B277&gt;=8,$B277&lt;=9),1,0)</f>
        <v>1</v>
      </c>
      <c r="G277" s="37" t="e">
        <f>IF(ABS($B277-Up_MinNorm)&lt;=0.025,Up_YTop,NA())</f>
        <v>#N/A</v>
      </c>
      <c r="H277" s="37" t="e">
        <f>IF(ABS($B277-Up_MinPara)&lt;=0.025,Up_YTop,NA())</f>
        <v>#N/A</v>
      </c>
      <c r="I277" s="37" t="e">
        <f>IF(ABS($B277-Up_SecL)&lt;=0.025,C277,NA())</f>
        <v>#N/A</v>
      </c>
      <c r="J277" s="37" t="e">
        <f>IF(AND(Up_Par0&gt;=0,Up_Par0&lt;=10),IF(ABS($B277-Up_Par0)&lt;=0.025,D277,NA()),NA())</f>
        <v>#N/A</v>
      </c>
      <c r="K277" s="39">
        <f>IF(MOD(174,20)=0,TEXT($B277,"0"),"")</f>
        <v/>
      </c>
    </row>
    <row r="278" spans="2:11" ht="17" customHeight="1">
      <c r="B278" s="36">
        <v>8.75</v>
      </c>
      <c r="C278" s="37">
        <f>IF((Up_Basis="Per kg H2 (kWh)"),$B278+(Up_RlL+Up_ElzL)/Ship_CargoL,($B278*Ship_CargoL+Up_RlL+Up_ElzL)/1000)</f>
        <v>24863.6856</v>
      </c>
      <c r="D278" s="37">
        <f>IF((Up_Basis="Per kg H2 (kWh)"),(Up_HB+Up_RlN+Up_ElzN)/Up_H2N,(Up_HB+Up_RlN+Up_ElzN)/1000)</f>
        <v>4897.00357142857</v>
      </c>
      <c r="E278" s="38">
        <f>IF($B278&lt;=Up_MinPara,1,0)</f>
        <v>0</v>
      </c>
      <c r="F278" s="38">
        <f>IF(AND($B278&gt;=8,$B278&lt;=9),1,0)</f>
        <v>1</v>
      </c>
      <c r="G278" s="37" t="e">
        <f>IF(ABS($B278-Up_MinNorm)&lt;=0.025,Up_YTop,NA())</f>
        <v>#N/A</v>
      </c>
      <c r="H278" s="37" t="e">
        <f>IF(ABS($B278-Up_MinPara)&lt;=0.025,Up_YTop,NA())</f>
        <v>#N/A</v>
      </c>
      <c r="I278" s="37" t="e">
        <f>IF(ABS($B278-Up_SecL)&lt;=0.025,C278,NA())</f>
        <v>#N/A</v>
      </c>
      <c r="J278" s="37" t="e">
        <f>IF(AND(Up_Par0&gt;=0,Up_Par0&lt;=10),IF(ABS($B278-Up_Par0)&lt;=0.025,D278,NA()),NA())</f>
        <v>#N/A</v>
      </c>
      <c r="K278" s="39">
        <f>IF(MOD(175,20)=0,TEXT($B278,"0"),"")</f>
        <v/>
      </c>
    </row>
    <row r="279" spans="2:11" ht="17" customHeight="1">
      <c r="B279" s="36">
        <v>8.800000000000001</v>
      </c>
      <c r="C279" s="37">
        <f>IF((Up_Basis="Per kg H2 (kWh)"),$B279+(Up_RlL+Up_ElzL)/Ship_CargoL,($B279*Ship_CargoL+Up_RlL+Up_ElzL)/1000)</f>
        <v>25005.2856</v>
      </c>
      <c r="D279" s="37">
        <f>IF((Up_Basis="Per kg H2 (kWh)"),(Up_HB+Up_RlN+Up_ElzN)/Up_H2N,(Up_HB+Up_RlN+Up_ElzN)/1000)</f>
        <v>4897.00357142857</v>
      </c>
      <c r="E279" s="38">
        <f>IF($B279&lt;=Up_MinPara,1,0)</f>
        <v>0</v>
      </c>
      <c r="F279" s="38">
        <f>IF(AND($B279&gt;=8,$B279&lt;=9),1,0)</f>
        <v>1</v>
      </c>
      <c r="G279" s="37" t="e">
        <f>IF(ABS($B279-Up_MinNorm)&lt;=0.025,Up_YTop,NA())</f>
        <v>#N/A</v>
      </c>
      <c r="H279" s="37" t="e">
        <f>IF(ABS($B279-Up_MinPara)&lt;=0.025,Up_YTop,NA())</f>
        <v>#N/A</v>
      </c>
      <c r="I279" s="37" t="e">
        <f>IF(ABS($B279-Up_SecL)&lt;=0.025,C279,NA())</f>
        <v>#N/A</v>
      </c>
      <c r="J279" s="37" t="e">
        <f>IF(AND(Up_Par0&gt;=0,Up_Par0&lt;=10),IF(ABS($B279-Up_Par0)&lt;=0.025,D279,NA()),NA())</f>
        <v>#N/A</v>
      </c>
      <c r="K279" s="39">
        <f>IF(MOD(176,20)=0,TEXT($B279,"0"),"")</f>
        <v/>
      </c>
    </row>
    <row r="280" spans="2:11" ht="17" customHeight="1">
      <c r="B280" s="36">
        <v>8.85</v>
      </c>
      <c r="C280" s="37">
        <f>IF((Up_Basis="Per kg H2 (kWh)"),$B280+(Up_RlL+Up_ElzL)/Ship_CargoL,($B280*Ship_CargoL+Up_RlL+Up_ElzL)/1000)</f>
        <v>25146.8856</v>
      </c>
      <c r="D280" s="37">
        <f>IF((Up_Basis="Per kg H2 (kWh)"),(Up_HB+Up_RlN+Up_ElzN)/Up_H2N,(Up_HB+Up_RlN+Up_ElzN)/1000)</f>
        <v>4897.00357142857</v>
      </c>
      <c r="E280" s="38">
        <f>IF($B280&lt;=Up_MinPara,1,0)</f>
        <v>0</v>
      </c>
      <c r="F280" s="38">
        <f>IF(AND($B280&gt;=8,$B280&lt;=9),1,0)</f>
        <v>1</v>
      </c>
      <c r="G280" s="37" t="e">
        <f>IF(ABS($B280-Up_MinNorm)&lt;=0.025,Up_YTop,NA())</f>
        <v>#N/A</v>
      </c>
      <c r="H280" s="37" t="e">
        <f>IF(ABS($B280-Up_MinPara)&lt;=0.025,Up_YTop,NA())</f>
        <v>#N/A</v>
      </c>
      <c r="I280" s="37" t="e">
        <f>IF(ABS($B280-Up_SecL)&lt;=0.025,C280,NA())</f>
        <v>#N/A</v>
      </c>
      <c r="J280" s="37" t="e">
        <f>IF(AND(Up_Par0&gt;=0,Up_Par0&lt;=10),IF(ABS($B280-Up_Par0)&lt;=0.025,D280,NA()),NA())</f>
        <v>#N/A</v>
      </c>
      <c r="K280" s="39">
        <f>IF(MOD(177,20)=0,TEXT($B280,"0"),"")</f>
        <v/>
      </c>
    </row>
    <row r="281" spans="2:11" ht="17" customHeight="1">
      <c r="B281" s="36">
        <v>8.9</v>
      </c>
      <c r="C281" s="37">
        <f>IF((Up_Basis="Per kg H2 (kWh)"),$B281+(Up_RlL+Up_ElzL)/Ship_CargoL,($B281*Ship_CargoL+Up_RlL+Up_ElzL)/1000)</f>
        <v>25288.4856</v>
      </c>
      <c r="D281" s="37">
        <f>IF((Up_Basis="Per kg H2 (kWh)"),(Up_HB+Up_RlN+Up_ElzN)/Up_H2N,(Up_HB+Up_RlN+Up_ElzN)/1000)</f>
        <v>4897.00357142857</v>
      </c>
      <c r="E281" s="38">
        <f>IF($B281&lt;=Up_MinPara,1,0)</f>
        <v>0</v>
      </c>
      <c r="F281" s="38">
        <f>IF(AND($B281&gt;=8,$B281&lt;=9),1,0)</f>
        <v>1</v>
      </c>
      <c r="G281" s="37" t="e">
        <f>IF(ABS($B281-Up_MinNorm)&lt;=0.025,Up_YTop,NA())</f>
        <v>#N/A</v>
      </c>
      <c r="H281" s="37" t="e">
        <f>IF(ABS($B281-Up_MinPara)&lt;=0.025,Up_YTop,NA())</f>
        <v>#N/A</v>
      </c>
      <c r="I281" s="37" t="e">
        <f>IF(ABS($B281-Up_SecL)&lt;=0.025,C281,NA())</f>
        <v>#N/A</v>
      </c>
      <c r="J281" s="37" t="e">
        <f>IF(AND(Up_Par0&gt;=0,Up_Par0&lt;=10),IF(ABS($B281-Up_Par0)&lt;=0.025,D281,NA()),NA())</f>
        <v>#N/A</v>
      </c>
      <c r="K281" s="39">
        <f>IF(MOD(178,20)=0,TEXT($B281,"0"),"")</f>
        <v/>
      </c>
    </row>
    <row r="282" spans="2:11" ht="17" customHeight="1">
      <c r="B282" s="36">
        <v>8.949999999999999</v>
      </c>
      <c r="C282" s="37">
        <f>IF((Up_Basis="Per kg H2 (kWh)"),$B282+(Up_RlL+Up_ElzL)/Ship_CargoL,($B282*Ship_CargoL+Up_RlL+Up_ElzL)/1000)</f>
        <v>25430.0856</v>
      </c>
      <c r="D282" s="37">
        <f>IF((Up_Basis="Per kg H2 (kWh)"),(Up_HB+Up_RlN+Up_ElzN)/Up_H2N,(Up_HB+Up_RlN+Up_ElzN)/1000)</f>
        <v>4897.00357142857</v>
      </c>
      <c r="E282" s="38">
        <f>IF($B282&lt;=Up_MinPara,1,0)</f>
        <v>0</v>
      </c>
      <c r="F282" s="38">
        <f>IF(AND($B282&gt;=8,$B282&lt;=9),1,0)</f>
        <v>1</v>
      </c>
      <c r="G282" s="37" t="e">
        <f>IF(ABS($B282-Up_MinNorm)&lt;=0.025,Up_YTop,NA())</f>
        <v>#N/A</v>
      </c>
      <c r="H282" s="37" t="e">
        <f>IF(ABS($B282-Up_MinPara)&lt;=0.025,Up_YTop,NA())</f>
        <v>#N/A</v>
      </c>
      <c r="I282" s="37" t="e">
        <f>IF(ABS($B282-Up_SecL)&lt;=0.025,C282,NA())</f>
        <v>#N/A</v>
      </c>
      <c r="J282" s="37" t="e">
        <f>IF(AND(Up_Par0&gt;=0,Up_Par0&lt;=10),IF(ABS($B282-Up_Par0)&lt;=0.025,D282,NA()),NA())</f>
        <v>#N/A</v>
      </c>
      <c r="K282" s="39">
        <f>IF(MOD(179,20)=0,TEXT($B282,"0"),"")</f>
        <v/>
      </c>
    </row>
    <row r="283" spans="2:11" ht="17" customHeight="1">
      <c r="B283" s="36">
        <v>9</v>
      </c>
      <c r="C283" s="37">
        <f>IF((Up_Basis="Per kg H2 (kWh)"),$B283+(Up_RlL+Up_ElzL)/Ship_CargoL,($B283*Ship_CargoL+Up_RlL+Up_ElzL)/1000)</f>
        <v>25571.6856</v>
      </c>
      <c r="D283" s="37">
        <f>IF((Up_Basis="Per kg H2 (kWh)"),(Up_HB+Up_RlN+Up_ElzN)/Up_H2N,(Up_HB+Up_RlN+Up_ElzN)/1000)</f>
        <v>4897.00357142857</v>
      </c>
      <c r="E283" s="38">
        <f>IF($B283&lt;=Up_MinPara,1,0)</f>
        <v>0</v>
      </c>
      <c r="F283" s="38">
        <f>IF(AND($B283&gt;=8,$B283&lt;=9),1,0)</f>
        <v>1</v>
      </c>
      <c r="G283" s="37" t="e">
        <f>IF(ABS($B283-Up_MinNorm)&lt;=0.025,Up_YTop,NA())</f>
        <v>#N/A</v>
      </c>
      <c r="H283" s="37" t="e">
        <f>IF(ABS($B283-Up_MinPara)&lt;=0.025,Up_YTop,NA())</f>
        <v>#N/A</v>
      </c>
      <c r="I283" s="37">
        <f>IF(ABS($B283-Up_SecL)&lt;=0.025,C283,NA())</f>
        <v>25571.6856</v>
      </c>
      <c r="J283" s="37" t="e">
        <f>IF(AND(Up_Par0&gt;=0,Up_Par0&lt;=10),IF(ABS($B283-Up_Par0)&lt;=0.025,D283,NA()),NA())</f>
        <v>#N/A</v>
      </c>
      <c r="K283" s="39" t="str">
        <f>IF(MOD(180,20)=0,TEXT($B283,"0"),"")</f>
        <v>9</v>
      </c>
    </row>
    <row r="284" spans="2:11" ht="17" customHeight="1">
      <c r="B284" s="36">
        <v>9.050000000000001</v>
      </c>
      <c r="C284" s="37">
        <f>IF((Up_Basis="Per kg H2 (kWh)"),$B284+(Up_RlL+Up_ElzL)/Ship_CargoL,($B284*Ship_CargoL+Up_RlL+Up_ElzL)/1000)</f>
        <v>25713.2856</v>
      </c>
      <c r="D284" s="37">
        <f>IF((Up_Basis="Per kg H2 (kWh)"),(Up_HB+Up_RlN+Up_ElzN)/Up_H2N,(Up_HB+Up_RlN+Up_ElzN)/1000)</f>
        <v>4897.00357142857</v>
      </c>
      <c r="E284" s="38">
        <f>IF($B284&lt;=Up_MinPara,1,0)</f>
        <v>0</v>
      </c>
      <c r="F284" s="38">
        <f>IF(AND($B284&gt;=8,$B284&lt;=9),1,0)</f>
        <v>0</v>
      </c>
      <c r="G284" s="37" t="e">
        <f>IF(ABS($B284-Up_MinNorm)&lt;=0.025,Up_YTop,NA())</f>
        <v>#N/A</v>
      </c>
      <c r="H284" s="37" t="e">
        <f>IF(ABS($B284-Up_MinPara)&lt;=0.025,Up_YTop,NA())</f>
        <v>#N/A</v>
      </c>
      <c r="I284" s="37" t="e">
        <f>IF(ABS($B284-Up_SecL)&lt;=0.025,C284,NA())</f>
        <v>#N/A</v>
      </c>
      <c r="J284" s="37" t="e">
        <f>IF(AND(Up_Par0&gt;=0,Up_Par0&lt;=10),IF(ABS($B284-Up_Par0)&lt;=0.025,D284,NA()),NA())</f>
        <v>#N/A</v>
      </c>
      <c r="K284" s="39">
        <f>IF(MOD(181,20)=0,TEXT($B284,"0"),"")</f>
        <v/>
      </c>
    </row>
    <row r="285" spans="2:11" ht="17" customHeight="1">
      <c r="B285" s="36">
        <v>9.1</v>
      </c>
      <c r="C285" s="37">
        <f>IF((Up_Basis="Per kg H2 (kWh)"),$B285+(Up_RlL+Up_ElzL)/Ship_CargoL,($B285*Ship_CargoL+Up_RlL+Up_ElzL)/1000)</f>
        <v>25854.8856</v>
      </c>
      <c r="D285" s="37">
        <f>IF((Up_Basis="Per kg H2 (kWh)"),(Up_HB+Up_RlN+Up_ElzN)/Up_H2N,(Up_HB+Up_RlN+Up_ElzN)/1000)</f>
        <v>4897.00357142857</v>
      </c>
      <c r="E285" s="38">
        <f>IF($B285&lt;=Up_MinPara,1,0)</f>
        <v>0</v>
      </c>
      <c r="F285" s="38">
        <f>IF(AND($B285&gt;=8,$B285&lt;=9),1,0)</f>
        <v>0</v>
      </c>
      <c r="G285" s="37" t="e">
        <f>IF(ABS($B285-Up_MinNorm)&lt;=0.025,Up_YTop,NA())</f>
        <v>#N/A</v>
      </c>
      <c r="H285" s="37" t="e">
        <f>IF(ABS($B285-Up_MinPara)&lt;=0.025,Up_YTop,NA())</f>
        <v>#N/A</v>
      </c>
      <c r="I285" s="37" t="e">
        <f>IF(ABS($B285-Up_SecL)&lt;=0.025,C285,NA())</f>
        <v>#N/A</v>
      </c>
      <c r="J285" s="37" t="e">
        <f>IF(AND(Up_Par0&gt;=0,Up_Par0&lt;=10),IF(ABS($B285-Up_Par0)&lt;=0.025,D285,NA()),NA())</f>
        <v>#N/A</v>
      </c>
      <c r="K285" s="39">
        <f>IF(MOD(182,20)=0,TEXT($B285,"0"),"")</f>
        <v/>
      </c>
    </row>
    <row r="286" spans="2:11" ht="17" customHeight="1">
      <c r="B286" s="36">
        <v>9.15</v>
      </c>
      <c r="C286" s="37">
        <f>IF((Up_Basis="Per kg H2 (kWh)"),$B286+(Up_RlL+Up_ElzL)/Ship_CargoL,($B286*Ship_CargoL+Up_RlL+Up_ElzL)/1000)</f>
        <v>25996.4856</v>
      </c>
      <c r="D286" s="37">
        <f>IF((Up_Basis="Per kg H2 (kWh)"),(Up_HB+Up_RlN+Up_ElzN)/Up_H2N,(Up_HB+Up_RlN+Up_ElzN)/1000)</f>
        <v>4897.00357142857</v>
      </c>
      <c r="E286" s="38">
        <f>IF($B286&lt;=Up_MinPara,1,0)</f>
        <v>0</v>
      </c>
      <c r="F286" s="38">
        <f>IF(AND($B286&gt;=8,$B286&lt;=9),1,0)</f>
        <v>0</v>
      </c>
      <c r="G286" s="37" t="e">
        <f>IF(ABS($B286-Up_MinNorm)&lt;=0.025,Up_YTop,NA())</f>
        <v>#N/A</v>
      </c>
      <c r="H286" s="37" t="e">
        <f>IF(ABS($B286-Up_MinPara)&lt;=0.025,Up_YTop,NA())</f>
        <v>#N/A</v>
      </c>
      <c r="I286" s="37" t="e">
        <f>IF(ABS($B286-Up_SecL)&lt;=0.025,C286,NA())</f>
        <v>#N/A</v>
      </c>
      <c r="J286" s="37" t="e">
        <f>IF(AND(Up_Par0&gt;=0,Up_Par0&lt;=10),IF(ABS($B286-Up_Par0)&lt;=0.025,D286,NA()),NA())</f>
        <v>#N/A</v>
      </c>
      <c r="K286" s="39">
        <f>IF(MOD(183,20)=0,TEXT($B286,"0"),"")</f>
        <v/>
      </c>
    </row>
    <row r="287" spans="2:11" ht="17" customHeight="1">
      <c r="B287" s="36">
        <v>9.199999999999999</v>
      </c>
      <c r="C287" s="37">
        <f>IF((Up_Basis="Per kg H2 (kWh)"),$B287+(Up_RlL+Up_ElzL)/Ship_CargoL,($B287*Ship_CargoL+Up_RlL+Up_ElzL)/1000)</f>
        <v>26138.0856</v>
      </c>
      <c r="D287" s="37">
        <f>IF((Up_Basis="Per kg H2 (kWh)"),(Up_HB+Up_RlN+Up_ElzN)/Up_H2N,(Up_HB+Up_RlN+Up_ElzN)/1000)</f>
        <v>4897.00357142857</v>
      </c>
      <c r="E287" s="38">
        <f>IF($B287&lt;=Up_MinPara,1,0)</f>
        <v>0</v>
      </c>
      <c r="F287" s="38">
        <f>IF(AND($B287&gt;=8,$B287&lt;=9),1,0)</f>
        <v>0</v>
      </c>
      <c r="G287" s="37" t="e">
        <f>IF(ABS($B287-Up_MinNorm)&lt;=0.025,Up_YTop,NA())</f>
        <v>#N/A</v>
      </c>
      <c r="H287" s="37" t="e">
        <f>IF(ABS($B287-Up_MinPara)&lt;=0.025,Up_YTop,NA())</f>
        <v>#N/A</v>
      </c>
      <c r="I287" s="37" t="e">
        <f>IF(ABS($B287-Up_SecL)&lt;=0.025,C287,NA())</f>
        <v>#N/A</v>
      </c>
      <c r="J287" s="37" t="e">
        <f>IF(AND(Up_Par0&gt;=0,Up_Par0&lt;=10),IF(ABS($B287-Up_Par0)&lt;=0.025,D287,NA()),NA())</f>
        <v>#N/A</v>
      </c>
      <c r="K287" s="39">
        <f>IF(MOD(184,20)=0,TEXT($B287,"0"),"")</f>
        <v/>
      </c>
    </row>
    <row r="288" spans="2:11" ht="17" customHeight="1">
      <c r="B288" s="36">
        <v>9.25</v>
      </c>
      <c r="C288" s="37">
        <f>IF((Up_Basis="Per kg H2 (kWh)"),$B288+(Up_RlL+Up_ElzL)/Ship_CargoL,($B288*Ship_CargoL+Up_RlL+Up_ElzL)/1000)</f>
        <v>26279.6856</v>
      </c>
      <c r="D288" s="37">
        <f>IF((Up_Basis="Per kg H2 (kWh)"),(Up_HB+Up_RlN+Up_ElzN)/Up_H2N,(Up_HB+Up_RlN+Up_ElzN)/1000)</f>
        <v>4897.00357142857</v>
      </c>
      <c r="E288" s="38">
        <f>IF($B288&lt;=Up_MinPara,1,0)</f>
        <v>0</v>
      </c>
      <c r="F288" s="38">
        <f>IF(AND($B288&gt;=8,$B288&lt;=9),1,0)</f>
        <v>0</v>
      </c>
      <c r="G288" s="37" t="e">
        <f>IF(ABS($B288-Up_MinNorm)&lt;=0.025,Up_YTop,NA())</f>
        <v>#N/A</v>
      </c>
      <c r="H288" s="37" t="e">
        <f>IF(ABS($B288-Up_MinPara)&lt;=0.025,Up_YTop,NA())</f>
        <v>#N/A</v>
      </c>
      <c r="I288" s="37" t="e">
        <f>IF(ABS($B288-Up_SecL)&lt;=0.025,C288,NA())</f>
        <v>#N/A</v>
      </c>
      <c r="J288" s="37" t="e">
        <f>IF(AND(Up_Par0&gt;=0,Up_Par0&lt;=10),IF(ABS($B288-Up_Par0)&lt;=0.025,D288,NA()),NA())</f>
        <v>#N/A</v>
      </c>
      <c r="K288" s="39">
        <f>IF(MOD(185,20)=0,TEXT($B288,"0"),"")</f>
        <v/>
      </c>
    </row>
    <row r="289" spans="2:11" ht="17" customHeight="1">
      <c r="B289" s="36">
        <v>9.300000000000001</v>
      </c>
      <c r="C289" s="37">
        <f>IF((Up_Basis="Per kg H2 (kWh)"),$B289+(Up_RlL+Up_ElzL)/Ship_CargoL,($B289*Ship_CargoL+Up_RlL+Up_ElzL)/1000)</f>
        <v>26421.2856</v>
      </c>
      <c r="D289" s="37">
        <f>IF((Up_Basis="Per kg H2 (kWh)"),(Up_HB+Up_RlN+Up_ElzN)/Up_H2N,(Up_HB+Up_RlN+Up_ElzN)/1000)</f>
        <v>4897.00357142857</v>
      </c>
      <c r="E289" s="38">
        <f>IF($B289&lt;=Up_MinPara,1,0)</f>
        <v>0</v>
      </c>
      <c r="F289" s="38">
        <f>IF(AND($B289&gt;=8,$B289&lt;=9),1,0)</f>
        <v>0</v>
      </c>
      <c r="G289" s="37" t="e">
        <f>IF(ABS($B289-Up_MinNorm)&lt;=0.025,Up_YTop,NA())</f>
        <v>#N/A</v>
      </c>
      <c r="H289" s="37" t="e">
        <f>IF(ABS($B289-Up_MinPara)&lt;=0.025,Up_YTop,NA())</f>
        <v>#N/A</v>
      </c>
      <c r="I289" s="37" t="e">
        <f>IF(ABS($B289-Up_SecL)&lt;=0.025,C289,NA())</f>
        <v>#N/A</v>
      </c>
      <c r="J289" s="37" t="e">
        <f>IF(AND(Up_Par0&gt;=0,Up_Par0&lt;=10),IF(ABS($B289-Up_Par0)&lt;=0.025,D289,NA()),NA())</f>
        <v>#N/A</v>
      </c>
      <c r="K289" s="39">
        <f>IF(MOD(186,20)=0,TEXT($B289,"0"),"")</f>
        <v/>
      </c>
    </row>
    <row r="290" spans="2:11" ht="17" customHeight="1">
      <c r="B290" s="36">
        <v>9.35</v>
      </c>
      <c r="C290" s="37">
        <f>IF((Up_Basis="Per kg H2 (kWh)"),$B290+(Up_RlL+Up_ElzL)/Ship_CargoL,($B290*Ship_CargoL+Up_RlL+Up_ElzL)/1000)</f>
        <v>26562.8856</v>
      </c>
      <c r="D290" s="37">
        <f>IF((Up_Basis="Per kg H2 (kWh)"),(Up_HB+Up_RlN+Up_ElzN)/Up_H2N,(Up_HB+Up_RlN+Up_ElzN)/1000)</f>
        <v>4897.00357142857</v>
      </c>
      <c r="E290" s="38">
        <f>IF($B290&lt;=Up_MinPara,1,0)</f>
        <v>0</v>
      </c>
      <c r="F290" s="38">
        <f>IF(AND($B290&gt;=8,$B290&lt;=9),1,0)</f>
        <v>0</v>
      </c>
      <c r="G290" s="37" t="e">
        <f>IF(ABS($B290-Up_MinNorm)&lt;=0.025,Up_YTop,NA())</f>
        <v>#N/A</v>
      </c>
      <c r="H290" s="37" t="e">
        <f>IF(ABS($B290-Up_MinPara)&lt;=0.025,Up_YTop,NA())</f>
        <v>#N/A</v>
      </c>
      <c r="I290" s="37" t="e">
        <f>IF(ABS($B290-Up_SecL)&lt;=0.025,C290,NA())</f>
        <v>#N/A</v>
      </c>
      <c r="J290" s="37" t="e">
        <f>IF(AND(Up_Par0&gt;=0,Up_Par0&lt;=10),IF(ABS($B290-Up_Par0)&lt;=0.025,D290,NA()),NA())</f>
        <v>#N/A</v>
      </c>
      <c r="K290" s="39">
        <f>IF(MOD(187,20)=0,TEXT($B290,"0"),"")</f>
        <v/>
      </c>
    </row>
    <row r="291" spans="2:11" ht="17" customHeight="1">
      <c r="B291" s="36">
        <v>9.4</v>
      </c>
      <c r="C291" s="37">
        <f>IF((Up_Basis="Per kg H2 (kWh)"),$B291+(Up_RlL+Up_ElzL)/Ship_CargoL,($B291*Ship_CargoL+Up_RlL+Up_ElzL)/1000)</f>
        <v>26704.4856</v>
      </c>
      <c r="D291" s="37">
        <f>IF((Up_Basis="Per kg H2 (kWh)"),(Up_HB+Up_RlN+Up_ElzN)/Up_H2N,(Up_HB+Up_RlN+Up_ElzN)/1000)</f>
        <v>4897.00357142857</v>
      </c>
      <c r="E291" s="38">
        <f>IF($B291&lt;=Up_MinPara,1,0)</f>
        <v>0</v>
      </c>
      <c r="F291" s="38">
        <f>IF(AND($B291&gt;=8,$B291&lt;=9),1,0)</f>
        <v>0</v>
      </c>
      <c r="G291" s="37" t="e">
        <f>IF(ABS($B291-Up_MinNorm)&lt;=0.025,Up_YTop,NA())</f>
        <v>#N/A</v>
      </c>
      <c r="H291" s="37" t="e">
        <f>IF(ABS($B291-Up_MinPara)&lt;=0.025,Up_YTop,NA())</f>
        <v>#N/A</v>
      </c>
      <c r="I291" s="37" t="e">
        <f>IF(ABS($B291-Up_SecL)&lt;=0.025,C291,NA())</f>
        <v>#N/A</v>
      </c>
      <c r="J291" s="37" t="e">
        <f>IF(AND(Up_Par0&gt;=0,Up_Par0&lt;=10),IF(ABS($B291-Up_Par0)&lt;=0.025,D291,NA()),NA())</f>
        <v>#N/A</v>
      </c>
      <c r="K291" s="39">
        <f>IF(MOD(188,20)=0,TEXT($B291,"0"),"")</f>
        <v/>
      </c>
    </row>
    <row r="292" spans="2:11" ht="17" customHeight="1">
      <c r="B292" s="36">
        <v>9.449999999999999</v>
      </c>
      <c r="C292" s="37">
        <f>IF((Up_Basis="Per kg H2 (kWh)"),$B292+(Up_RlL+Up_ElzL)/Ship_CargoL,($B292*Ship_CargoL+Up_RlL+Up_ElzL)/1000)</f>
        <v>26846.0856</v>
      </c>
      <c r="D292" s="37">
        <f>IF((Up_Basis="Per kg H2 (kWh)"),(Up_HB+Up_RlN+Up_ElzN)/Up_H2N,(Up_HB+Up_RlN+Up_ElzN)/1000)</f>
        <v>4897.00357142857</v>
      </c>
      <c r="E292" s="38">
        <f>IF($B292&lt;=Up_MinPara,1,0)</f>
        <v>0</v>
      </c>
      <c r="F292" s="38">
        <f>IF(AND($B292&gt;=8,$B292&lt;=9),1,0)</f>
        <v>0</v>
      </c>
      <c r="G292" s="37" t="e">
        <f>IF(ABS($B292-Up_MinNorm)&lt;=0.025,Up_YTop,NA())</f>
        <v>#N/A</v>
      </c>
      <c r="H292" s="37" t="e">
        <f>IF(ABS($B292-Up_MinPara)&lt;=0.025,Up_YTop,NA())</f>
        <v>#N/A</v>
      </c>
      <c r="I292" s="37" t="e">
        <f>IF(ABS($B292-Up_SecL)&lt;=0.025,C292,NA())</f>
        <v>#N/A</v>
      </c>
      <c r="J292" s="37" t="e">
        <f>IF(AND(Up_Par0&gt;=0,Up_Par0&lt;=10),IF(ABS($B292-Up_Par0)&lt;=0.025,D292,NA()),NA())</f>
        <v>#N/A</v>
      </c>
      <c r="K292" s="39">
        <f>IF(MOD(189,20)=0,TEXT($B292,"0"),"")</f>
        <v/>
      </c>
    </row>
    <row r="293" spans="2:11" ht="17" customHeight="1">
      <c r="B293" s="36">
        <v>9.5</v>
      </c>
      <c r="C293" s="37">
        <f>IF((Up_Basis="Per kg H2 (kWh)"),$B293+(Up_RlL+Up_ElzL)/Ship_CargoL,($B293*Ship_CargoL+Up_RlL+Up_ElzL)/1000)</f>
        <v>26987.6856</v>
      </c>
      <c r="D293" s="37">
        <f>IF((Up_Basis="Per kg H2 (kWh)"),(Up_HB+Up_RlN+Up_ElzN)/Up_H2N,(Up_HB+Up_RlN+Up_ElzN)/1000)</f>
        <v>4897.00357142857</v>
      </c>
      <c r="E293" s="38">
        <f>IF($B293&lt;=Up_MinPara,1,0)</f>
        <v>0</v>
      </c>
      <c r="F293" s="38">
        <f>IF(AND($B293&gt;=8,$B293&lt;=9),1,0)</f>
        <v>0</v>
      </c>
      <c r="G293" s="37" t="e">
        <f>IF(ABS($B293-Up_MinNorm)&lt;=0.025,Up_YTop,NA())</f>
        <v>#N/A</v>
      </c>
      <c r="H293" s="37" t="e">
        <f>IF(ABS($B293-Up_MinPara)&lt;=0.025,Up_YTop,NA())</f>
        <v>#N/A</v>
      </c>
      <c r="I293" s="37" t="e">
        <f>IF(ABS($B293-Up_SecL)&lt;=0.025,C293,NA())</f>
        <v>#N/A</v>
      </c>
      <c r="J293" s="37" t="e">
        <f>IF(AND(Up_Par0&gt;=0,Up_Par0&lt;=10),IF(ABS($B293-Up_Par0)&lt;=0.025,D293,NA()),NA())</f>
        <v>#N/A</v>
      </c>
      <c r="K293" s="39">
        <f>IF(MOD(190,20)=0,TEXT($B293,"0"),"")</f>
        <v/>
      </c>
    </row>
    <row r="294" spans="2:11" ht="17" customHeight="1">
      <c r="B294" s="36">
        <v>9.550000000000001</v>
      </c>
      <c r="C294" s="37">
        <f>IF((Up_Basis="Per kg H2 (kWh)"),$B294+(Up_RlL+Up_ElzL)/Ship_CargoL,($B294*Ship_CargoL+Up_RlL+Up_ElzL)/1000)</f>
        <v>27129.2856</v>
      </c>
      <c r="D294" s="37">
        <f>IF((Up_Basis="Per kg H2 (kWh)"),(Up_HB+Up_RlN+Up_ElzN)/Up_H2N,(Up_HB+Up_RlN+Up_ElzN)/1000)</f>
        <v>4897.00357142857</v>
      </c>
      <c r="E294" s="38">
        <f>IF($B294&lt;=Up_MinPara,1,0)</f>
        <v>0</v>
      </c>
      <c r="F294" s="38">
        <f>IF(AND($B294&gt;=8,$B294&lt;=9),1,0)</f>
        <v>0</v>
      </c>
      <c r="G294" s="37" t="e">
        <f>IF(ABS($B294-Up_MinNorm)&lt;=0.025,Up_YTop,NA())</f>
        <v>#N/A</v>
      </c>
      <c r="H294" s="37" t="e">
        <f>IF(ABS($B294-Up_MinPara)&lt;=0.025,Up_YTop,NA())</f>
        <v>#N/A</v>
      </c>
      <c r="I294" s="37" t="e">
        <f>IF(ABS($B294-Up_SecL)&lt;=0.025,C294,NA())</f>
        <v>#N/A</v>
      </c>
      <c r="J294" s="37" t="e">
        <f>IF(AND(Up_Par0&gt;=0,Up_Par0&lt;=10),IF(ABS($B294-Up_Par0)&lt;=0.025,D294,NA()),NA())</f>
        <v>#N/A</v>
      </c>
      <c r="K294" s="39">
        <f>IF(MOD(191,20)=0,TEXT($B294,"0"),"")</f>
        <v/>
      </c>
    </row>
    <row r="295" spans="2:11" ht="17" customHeight="1">
      <c r="B295" s="36">
        <v>9.6</v>
      </c>
      <c r="C295" s="37">
        <f>IF((Up_Basis="Per kg H2 (kWh)"),$B295+(Up_RlL+Up_ElzL)/Ship_CargoL,($B295*Ship_CargoL+Up_RlL+Up_ElzL)/1000)</f>
        <v>27270.8856</v>
      </c>
      <c r="D295" s="37">
        <f>IF((Up_Basis="Per kg H2 (kWh)"),(Up_HB+Up_RlN+Up_ElzN)/Up_H2N,(Up_HB+Up_RlN+Up_ElzN)/1000)</f>
        <v>4897.00357142857</v>
      </c>
      <c r="E295" s="38">
        <f>IF($B295&lt;=Up_MinPara,1,0)</f>
        <v>0</v>
      </c>
      <c r="F295" s="38">
        <f>IF(AND($B295&gt;=8,$B295&lt;=9),1,0)</f>
        <v>0</v>
      </c>
      <c r="G295" s="37" t="e">
        <f>IF(ABS($B295-Up_MinNorm)&lt;=0.025,Up_YTop,NA())</f>
        <v>#N/A</v>
      </c>
      <c r="H295" s="37" t="e">
        <f>IF(ABS($B295-Up_MinPara)&lt;=0.025,Up_YTop,NA())</f>
        <v>#N/A</v>
      </c>
      <c r="I295" s="37" t="e">
        <f>IF(ABS($B295-Up_SecL)&lt;=0.025,C295,NA())</f>
        <v>#N/A</v>
      </c>
      <c r="J295" s="37" t="e">
        <f>IF(AND(Up_Par0&gt;=0,Up_Par0&lt;=10),IF(ABS($B295-Up_Par0)&lt;=0.025,D295,NA()),NA())</f>
        <v>#N/A</v>
      </c>
      <c r="K295" s="39">
        <f>IF(MOD(192,20)=0,TEXT($B295,"0"),"")</f>
        <v/>
      </c>
    </row>
    <row r="296" spans="2:11" ht="17" customHeight="1">
      <c r="B296" s="36">
        <v>9.65</v>
      </c>
      <c r="C296" s="37">
        <f>IF((Up_Basis="Per kg H2 (kWh)"),$B296+(Up_RlL+Up_ElzL)/Ship_CargoL,($B296*Ship_CargoL+Up_RlL+Up_ElzL)/1000)</f>
        <v>27412.4856</v>
      </c>
      <c r="D296" s="37">
        <f>IF((Up_Basis="Per kg H2 (kWh)"),(Up_HB+Up_RlN+Up_ElzN)/Up_H2N,(Up_HB+Up_RlN+Up_ElzN)/1000)</f>
        <v>4897.00357142857</v>
      </c>
      <c r="E296" s="38">
        <f>IF($B296&lt;=Up_MinPara,1,0)</f>
        <v>0</v>
      </c>
      <c r="F296" s="38">
        <f>IF(AND($B296&gt;=8,$B296&lt;=9),1,0)</f>
        <v>0</v>
      </c>
      <c r="G296" s="37" t="e">
        <f>IF(ABS($B296-Up_MinNorm)&lt;=0.025,Up_YTop,NA())</f>
        <v>#N/A</v>
      </c>
      <c r="H296" s="37" t="e">
        <f>IF(ABS($B296-Up_MinPara)&lt;=0.025,Up_YTop,NA())</f>
        <v>#N/A</v>
      </c>
      <c r="I296" s="37" t="e">
        <f>IF(ABS($B296-Up_SecL)&lt;=0.025,C296,NA())</f>
        <v>#N/A</v>
      </c>
      <c r="J296" s="37" t="e">
        <f>IF(AND(Up_Par0&gt;=0,Up_Par0&lt;=10),IF(ABS($B296-Up_Par0)&lt;=0.025,D296,NA()),NA())</f>
        <v>#N/A</v>
      </c>
      <c r="K296" s="39">
        <f>IF(MOD(193,20)=0,TEXT($B296,"0"),"")</f>
        <v/>
      </c>
    </row>
    <row r="297" spans="2:11" ht="17" customHeight="1">
      <c r="B297" s="36">
        <v>9.699999999999999</v>
      </c>
      <c r="C297" s="37">
        <f>IF((Up_Basis="Per kg H2 (kWh)"),$B297+(Up_RlL+Up_ElzL)/Ship_CargoL,($B297*Ship_CargoL+Up_RlL+Up_ElzL)/1000)</f>
        <v>27554.0856</v>
      </c>
      <c r="D297" s="37">
        <f>IF((Up_Basis="Per kg H2 (kWh)"),(Up_HB+Up_RlN+Up_ElzN)/Up_H2N,(Up_HB+Up_RlN+Up_ElzN)/1000)</f>
        <v>4897.00357142857</v>
      </c>
      <c r="E297" s="38">
        <f>IF($B297&lt;=Up_MinPara,1,0)</f>
        <v>0</v>
      </c>
      <c r="F297" s="38">
        <f>IF(AND($B297&gt;=8,$B297&lt;=9),1,0)</f>
        <v>0</v>
      </c>
      <c r="G297" s="37" t="e">
        <f>IF(ABS($B297-Up_MinNorm)&lt;=0.025,Up_YTop,NA())</f>
        <v>#N/A</v>
      </c>
      <c r="H297" s="37" t="e">
        <f>IF(ABS($B297-Up_MinPara)&lt;=0.025,Up_YTop,NA())</f>
        <v>#N/A</v>
      </c>
      <c r="I297" s="37" t="e">
        <f>IF(ABS($B297-Up_SecL)&lt;=0.025,C297,NA())</f>
        <v>#N/A</v>
      </c>
      <c r="J297" s="37" t="e">
        <f>IF(AND(Up_Par0&gt;=0,Up_Par0&lt;=10),IF(ABS($B297-Up_Par0)&lt;=0.025,D297,NA()),NA())</f>
        <v>#N/A</v>
      </c>
      <c r="K297" s="39">
        <f>IF(MOD(194,20)=0,TEXT($B297,"0"),"")</f>
        <v/>
      </c>
    </row>
    <row r="298" spans="2:11" ht="17" customHeight="1">
      <c r="B298" s="36">
        <v>9.75</v>
      </c>
      <c r="C298" s="37">
        <f>IF((Up_Basis="Per kg H2 (kWh)"),$B298+(Up_RlL+Up_ElzL)/Ship_CargoL,($B298*Ship_CargoL+Up_RlL+Up_ElzL)/1000)</f>
        <v>27695.6856</v>
      </c>
      <c r="D298" s="37">
        <f>IF((Up_Basis="Per kg H2 (kWh)"),(Up_HB+Up_RlN+Up_ElzN)/Up_H2N,(Up_HB+Up_RlN+Up_ElzN)/1000)</f>
        <v>4897.00357142857</v>
      </c>
      <c r="E298" s="38">
        <f>IF($B298&lt;=Up_MinPara,1,0)</f>
        <v>0</v>
      </c>
      <c r="F298" s="38">
        <f>IF(AND($B298&gt;=8,$B298&lt;=9),1,0)</f>
        <v>0</v>
      </c>
      <c r="G298" s="37" t="e">
        <f>IF(ABS($B298-Up_MinNorm)&lt;=0.025,Up_YTop,NA())</f>
        <v>#N/A</v>
      </c>
      <c r="H298" s="37" t="e">
        <f>IF(ABS($B298-Up_MinPara)&lt;=0.025,Up_YTop,NA())</f>
        <v>#N/A</v>
      </c>
      <c r="I298" s="37" t="e">
        <f>IF(ABS($B298-Up_SecL)&lt;=0.025,C298,NA())</f>
        <v>#N/A</v>
      </c>
      <c r="J298" s="37" t="e">
        <f>IF(AND(Up_Par0&gt;=0,Up_Par0&lt;=10),IF(ABS($B298-Up_Par0)&lt;=0.025,D298,NA()),NA())</f>
        <v>#N/A</v>
      </c>
      <c r="K298" s="39">
        <f>IF(MOD(195,20)=0,TEXT($B298,"0"),"")</f>
        <v/>
      </c>
    </row>
    <row r="299" spans="2:11" ht="17" customHeight="1">
      <c r="B299" s="36">
        <v>9.800000000000001</v>
      </c>
      <c r="C299" s="37">
        <f>IF((Up_Basis="Per kg H2 (kWh)"),$B299+(Up_RlL+Up_ElzL)/Ship_CargoL,($B299*Ship_CargoL+Up_RlL+Up_ElzL)/1000)</f>
        <v>27837.2856</v>
      </c>
      <c r="D299" s="37">
        <f>IF((Up_Basis="Per kg H2 (kWh)"),(Up_HB+Up_RlN+Up_ElzN)/Up_H2N,(Up_HB+Up_RlN+Up_ElzN)/1000)</f>
        <v>4897.00357142857</v>
      </c>
      <c r="E299" s="38">
        <f>IF($B299&lt;=Up_MinPara,1,0)</f>
        <v>0</v>
      </c>
      <c r="F299" s="38">
        <f>IF(AND($B299&gt;=8,$B299&lt;=9),1,0)</f>
        <v>0</v>
      </c>
      <c r="G299" s="37" t="e">
        <f>IF(ABS($B299-Up_MinNorm)&lt;=0.025,Up_YTop,NA())</f>
        <v>#N/A</v>
      </c>
      <c r="H299" s="37" t="e">
        <f>IF(ABS($B299-Up_MinPara)&lt;=0.025,Up_YTop,NA())</f>
        <v>#N/A</v>
      </c>
      <c r="I299" s="37" t="e">
        <f>IF(ABS($B299-Up_SecL)&lt;=0.025,C299,NA())</f>
        <v>#N/A</v>
      </c>
      <c r="J299" s="37" t="e">
        <f>IF(AND(Up_Par0&gt;=0,Up_Par0&lt;=10),IF(ABS($B299-Up_Par0)&lt;=0.025,D299,NA()),NA())</f>
        <v>#N/A</v>
      </c>
      <c r="K299" s="39">
        <f>IF(MOD(196,20)=0,TEXT($B299,"0"),"")</f>
        <v/>
      </c>
    </row>
    <row r="300" spans="2:11" ht="17" customHeight="1">
      <c r="B300" s="36">
        <v>9.85</v>
      </c>
      <c r="C300" s="37">
        <f>IF((Up_Basis="Per kg H2 (kWh)"),$B300+(Up_RlL+Up_ElzL)/Ship_CargoL,($B300*Ship_CargoL+Up_RlL+Up_ElzL)/1000)</f>
        <v>27978.8856</v>
      </c>
      <c r="D300" s="37">
        <f>IF((Up_Basis="Per kg H2 (kWh)"),(Up_HB+Up_RlN+Up_ElzN)/Up_H2N,(Up_HB+Up_RlN+Up_ElzN)/1000)</f>
        <v>4897.00357142857</v>
      </c>
      <c r="E300" s="38">
        <f>IF($B300&lt;=Up_MinPara,1,0)</f>
        <v>0</v>
      </c>
      <c r="F300" s="38">
        <f>IF(AND($B300&gt;=8,$B300&lt;=9),1,0)</f>
        <v>0</v>
      </c>
      <c r="G300" s="37" t="e">
        <f>IF(ABS($B300-Up_MinNorm)&lt;=0.025,Up_YTop,NA())</f>
        <v>#N/A</v>
      </c>
      <c r="H300" s="37" t="e">
        <f>IF(ABS($B300-Up_MinPara)&lt;=0.025,Up_YTop,NA())</f>
        <v>#N/A</v>
      </c>
      <c r="I300" s="37" t="e">
        <f>IF(ABS($B300-Up_SecL)&lt;=0.025,C300,NA())</f>
        <v>#N/A</v>
      </c>
      <c r="J300" s="37" t="e">
        <f>IF(AND(Up_Par0&gt;=0,Up_Par0&lt;=10),IF(ABS($B300-Up_Par0)&lt;=0.025,D300,NA()),NA())</f>
        <v>#N/A</v>
      </c>
      <c r="K300" s="39">
        <f>IF(MOD(197,20)=0,TEXT($B300,"0"),"")</f>
        <v/>
      </c>
    </row>
    <row r="301" spans="2:11" ht="17" customHeight="1">
      <c r="B301" s="36">
        <v>9.9</v>
      </c>
      <c r="C301" s="37">
        <f>IF((Up_Basis="Per kg H2 (kWh)"),$B301+(Up_RlL+Up_ElzL)/Ship_CargoL,($B301*Ship_CargoL+Up_RlL+Up_ElzL)/1000)</f>
        <v>28120.4856</v>
      </c>
      <c r="D301" s="37">
        <f>IF((Up_Basis="Per kg H2 (kWh)"),(Up_HB+Up_RlN+Up_ElzN)/Up_H2N,(Up_HB+Up_RlN+Up_ElzN)/1000)</f>
        <v>4897.00357142857</v>
      </c>
      <c r="E301" s="38">
        <f>IF($B301&lt;=Up_MinPara,1,0)</f>
        <v>0</v>
      </c>
      <c r="F301" s="38">
        <f>IF(AND($B301&gt;=8,$B301&lt;=9),1,0)</f>
        <v>0</v>
      </c>
      <c r="G301" s="37" t="e">
        <f>IF(ABS($B301-Up_MinNorm)&lt;=0.025,Up_YTop,NA())</f>
        <v>#N/A</v>
      </c>
      <c r="H301" s="37" t="e">
        <f>IF(ABS($B301-Up_MinPara)&lt;=0.025,Up_YTop,NA())</f>
        <v>#N/A</v>
      </c>
      <c r="I301" s="37" t="e">
        <f>IF(ABS($B301-Up_SecL)&lt;=0.025,C301,NA())</f>
        <v>#N/A</v>
      </c>
      <c r="J301" s="37" t="e">
        <f>IF(AND(Up_Par0&gt;=0,Up_Par0&lt;=10),IF(ABS($B301-Up_Par0)&lt;=0.025,D301,NA()),NA())</f>
        <v>#N/A</v>
      </c>
      <c r="K301" s="39">
        <f>IF(MOD(198,20)=0,TEXT($B301,"0"),"")</f>
        <v/>
      </c>
    </row>
    <row r="302" spans="2:11" ht="17" customHeight="1">
      <c r="B302" s="36">
        <v>9.949999999999999</v>
      </c>
      <c r="C302" s="37">
        <f>IF((Up_Basis="Per kg H2 (kWh)"),$B302+(Up_RlL+Up_ElzL)/Ship_CargoL,($B302*Ship_CargoL+Up_RlL+Up_ElzL)/1000)</f>
        <v>28262.0856</v>
      </c>
      <c r="D302" s="37">
        <f>IF((Up_Basis="Per kg H2 (kWh)"),(Up_HB+Up_RlN+Up_ElzN)/Up_H2N,(Up_HB+Up_RlN+Up_ElzN)/1000)</f>
        <v>4897.00357142857</v>
      </c>
      <c r="E302" s="38">
        <f>IF($B302&lt;=Up_MinPara,1,0)</f>
        <v>0</v>
      </c>
      <c r="F302" s="38">
        <f>IF(AND($B302&gt;=8,$B302&lt;=9),1,0)</f>
        <v>0</v>
      </c>
      <c r="G302" s="37" t="e">
        <f>IF(ABS($B302-Up_MinNorm)&lt;=0.025,Up_YTop,NA())</f>
        <v>#N/A</v>
      </c>
      <c r="H302" s="37" t="e">
        <f>IF(ABS($B302-Up_MinPara)&lt;=0.025,Up_YTop,NA())</f>
        <v>#N/A</v>
      </c>
      <c r="I302" s="37" t="e">
        <f>IF(ABS($B302-Up_SecL)&lt;=0.025,C302,NA())</f>
        <v>#N/A</v>
      </c>
      <c r="J302" s="37" t="e">
        <f>IF(AND(Up_Par0&gt;=0,Up_Par0&lt;=10),IF(ABS($B302-Up_Par0)&lt;=0.025,D302,NA()),NA())</f>
        <v>#N/A</v>
      </c>
      <c r="K302" s="39">
        <f>IF(MOD(199,20)=0,TEXT($B302,"0"),"")</f>
        <v/>
      </c>
    </row>
    <row r="303" spans="2:11" ht="17" customHeight="1">
      <c r="B303" s="36">
        <v>10</v>
      </c>
      <c r="C303" s="37">
        <f>IF((Up_Basis="Per kg H2 (kWh)"),$B303+(Up_RlL+Up_ElzL)/Ship_CargoL,($B303*Ship_CargoL+Up_RlL+Up_ElzL)/1000)</f>
        <v>28403.6856</v>
      </c>
      <c r="D303" s="37">
        <f>IF((Up_Basis="Per kg H2 (kWh)"),(Up_HB+Up_RlN+Up_ElzN)/Up_H2N,(Up_HB+Up_RlN+Up_ElzN)/1000)</f>
        <v>4897.00357142857</v>
      </c>
      <c r="E303" s="38">
        <f>IF($B303&lt;=Up_MinPara,1,0)</f>
        <v>0</v>
      </c>
      <c r="F303" s="38">
        <f>IF(AND($B303&gt;=8,$B303&lt;=9),1,0)</f>
        <v>0</v>
      </c>
      <c r="G303" s="37" t="e">
        <f>IF(ABS($B303-Up_MinNorm)&lt;=0.025,Up_YTop,NA())</f>
        <v>#N/A</v>
      </c>
      <c r="H303" s="37" t="e">
        <f>IF(ABS($B303-Up_MinPara)&lt;=0.025,Up_YTop,NA())</f>
        <v>#N/A</v>
      </c>
      <c r="I303" s="37" t="e">
        <f>IF(ABS($B303-Up_SecL)&lt;=0.025,C303,NA())</f>
        <v>#N/A</v>
      </c>
      <c r="J303" s="37" t="e">
        <f>IF(AND(Up_Par0&gt;=0,Up_Par0&lt;=10),IF(ABS($B303-Up_Par0)&lt;=0.025,D303,NA()),NA())</f>
        <v>#N/A</v>
      </c>
      <c r="K303" s="39" t="str">
        <f>IF(MOD(200,20)=0,TEXT($B303,"0"),"")</f>
        <v>10</v>
      </c>
    </row>
    <row r="305" spans="2:13" ht="17" customHeight="1">
      <c r="B305" s="9" t="s">
        <v>268</v>
      </c>
      <c r="C305" s="40">
        <f>MAX(MAX($C$103:$D$303),1)</f>
        <v>28403.6856</v>
      </c>
      <c r="D305" s="11" t="s">
        <v>66</v>
      </c>
    </row>
    <row r="306" spans="2:13" ht="17" customHeight="1">
      <c r="B306" s="7" t="s">
        <v>131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spans="2:13" ht="17" customHeight="1">
      <c r="B307" s="6" t="s">
        <v>269</v>
      </c>
    </row>
    <row r="308" spans="2:13" ht="17" customHeight="1">
      <c r="B308" s="6" t="s">
        <v>270</v>
      </c>
    </row>
    <row r="309" spans="2:13" ht="17" customHeight="1">
      <c r="B309" s="6" t="s">
        <v>271</v>
      </c>
    </row>
    <row r="310" spans="2:13" ht="17" customHeight="1">
      <c r="B310" s="6" t="s">
        <v>272</v>
      </c>
    </row>
    <row r="311" spans="2:13" ht="17" customHeight="1">
      <c r="B311" s="6" t="s">
        <v>273</v>
      </c>
    </row>
    <row r="312" spans="2:13" ht="17" customHeight="1">
      <c r="B312" s="6" t="s">
        <v>274</v>
      </c>
    </row>
    <row r="313" spans="2:13" ht="17" customHeight="1">
      <c r="B313" s="6" t="s">
        <v>275</v>
      </c>
    </row>
    <row r="314" spans="2:13" ht="17" customHeight="1">
      <c r="B314" s="6" t="s">
        <v>276</v>
      </c>
    </row>
  </sheetData>
  <mergeCells count="7">
    <mergeCell ref="B2:P2"/>
    <mergeCell ref="B3:P3"/>
    <mergeCell ref="B4:P4"/>
    <mergeCell ref="B5:P5"/>
    <mergeCell ref="B6:P6"/>
    <mergeCell ref="C9:D9"/>
    <mergeCell ref="C46:D46"/>
  </mergeCells>
  <dataValidations count="2">
    <dataValidation type="list" allowBlank="1" showInputMessage="1" showErrorMessage="1" errorTitle="Pick from the list" error="Choose one of the listed options." sqref="C9">
      <formula1>"No,Yes"</formula1>
    </dataValidation>
    <dataValidation type="list" allowBlank="1" showInputMessage="1" showErrorMessage="1" errorTitle="Pick from the list" error="Choose one of the listed options." sqref="C46">
      <formula1>"Per ship cargo (MWh),Per kg H2 (kWh)"</formula1>
    </dataValidation>
  </dataValidations>
  <pageMargins left="0.7" right="0.7" top="0.75" bottom="0.75" header="0.3" footer="0.3"/>
  <pageSetup paperSize="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C8E8"/>
    <pageSetUpPr fitToPage="1"/>
  </sheetPr>
  <dimension ref="B1:T536"/>
  <sheetViews>
    <sheetView showGridLines="0" zoomScale="90" zoomScaleNormal="90" workbookViewId="0"/>
  </sheetViews>
  <sheetFormatPr defaultRowHeight="17" customHeight="1"/>
  <cols>
    <col min="1" max="1" width="2.7109375" customWidth="1"/>
    <col min="2" max="2" width="42.7109375" customWidth="1"/>
    <col min="3" max="31" width="14.7109375" customWidth="1"/>
  </cols>
  <sheetData>
    <row r="1" spans="2:16" ht="17" customHeight="1">
      <c r="B1" s="1" t="s">
        <v>0</v>
      </c>
    </row>
    <row r="2" spans="2:16" ht="30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6" customHeight="1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34" customHeight="1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" customHeight="1"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ht="17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spans="2:16" ht="17" customHeight="1">
      <c r="B8" s="7" t="s">
        <v>6</v>
      </c>
      <c r="C8" s="8"/>
      <c r="D8" s="8"/>
      <c r="E8" s="8"/>
      <c r="F8" s="8"/>
      <c r="G8" s="8"/>
    </row>
    <row r="9" spans="2:16" ht="17" customHeight="1">
      <c r="B9" s="9" t="s">
        <v>7</v>
      </c>
      <c r="C9" s="41">
        <f>Ship_HCap/Ship_CargoL*100</f>
        <v>0.470515536723164</v>
      </c>
      <c r="D9" s="11" t="s">
        <v>8</v>
      </c>
      <c r="E9" s="6" t="s">
        <v>9</v>
      </c>
    </row>
    <row r="10" spans="2:16" ht="17" customHeight="1">
      <c r="B10" s="9" t="s">
        <v>10</v>
      </c>
      <c r="C10" s="14">
        <f>Ship_BOG</f>
        <v>11328</v>
      </c>
      <c r="D10" s="11" t="s">
        <v>11</v>
      </c>
    </row>
    <row r="11" spans="2:16" ht="17" customHeight="1">
      <c r="B11" s="9" t="s">
        <v>12</v>
      </c>
      <c r="C11" s="15">
        <f>Ship_BOG/Ship_HCap</f>
        <v>0.850131332082552</v>
      </c>
      <c r="D11" s="11" t="s">
        <v>13</v>
      </c>
    </row>
    <row r="12" spans="2:16" ht="17" customHeight="1">
      <c r="B12" s="9" t="s">
        <v>14</v>
      </c>
      <c r="C12" s="13">
        <f>Ship_Vlsfo</f>
        <v>5.84487804878049</v>
      </c>
      <c r="D12" s="11" t="s">
        <v>15</v>
      </c>
      <c r="E12" s="6" t="s">
        <v>16</v>
      </c>
    </row>
    <row r="13" spans="2:16" ht="17" customHeight="1">
      <c r="B13" s="9" t="s">
        <v>17</v>
      </c>
      <c r="C13" s="14">
        <f>Ship_Surplus</f>
        <v>0</v>
      </c>
      <c r="D13" s="11" t="s">
        <v>11</v>
      </c>
    </row>
    <row r="14" spans="2:16" ht="17" customHeight="1">
      <c r="B14" s="9" t="s">
        <v>18</v>
      </c>
      <c r="C14" s="13">
        <f>Ship_BE</f>
        <v>3.09733594260491</v>
      </c>
      <c r="D14" s="11" t="s">
        <v>19</v>
      </c>
      <c r="E14" s="6" t="s">
        <v>20</v>
      </c>
    </row>
    <row r="15" spans="2:16" ht="17" customHeight="1">
      <c r="B15" s="9" t="s">
        <v>21</v>
      </c>
      <c r="C15" s="14">
        <f>Ship_BOG*Ship_P_H2+Ship_FixedL</f>
        <v>48818.9268292683</v>
      </c>
      <c r="D15" s="11" t="s">
        <v>22</v>
      </c>
    </row>
    <row r="16" spans="2:16" ht="17" customHeight="1">
      <c r="B16" s="9" t="s">
        <v>23</v>
      </c>
      <c r="C16" s="14">
        <f>Ship_CostNcmp</f>
        <v>38593.5483870968</v>
      </c>
      <c r="D16" s="11" t="s">
        <v>22</v>
      </c>
    </row>
    <row r="17" spans="2:7" ht="17" customHeight="1">
      <c r="B17" s="9" t="s">
        <v>24</v>
      </c>
      <c r="C17" s="14">
        <f>Ship_BOG*Ship_P_H2+Ship_FixedL-Ship_CostNcmp</f>
        <v>10225.3784421715</v>
      </c>
      <c r="D17" s="11" t="s">
        <v>22</v>
      </c>
    </row>
    <row r="19" spans="2:7" ht="17" customHeight="1">
      <c r="B19" s="7" t="s">
        <v>25</v>
      </c>
      <c r="C19" s="8"/>
      <c r="D19" s="8"/>
      <c r="E19" s="8"/>
      <c r="F19" s="8"/>
      <c r="G19" s="8"/>
    </row>
    <row r="20" spans="2:7" ht="17" customHeight="1">
      <c r="B20" s="9" t="s">
        <v>26</v>
      </c>
      <c r="C20" s="12">
        <v>40000</v>
      </c>
      <c r="D20" s="11" t="s">
        <v>27</v>
      </c>
      <c r="E20" s="6" t="s">
        <v>28</v>
      </c>
    </row>
    <row r="21" spans="2:7" ht="17" customHeight="1">
      <c r="B21" s="9" t="s">
        <v>29</v>
      </c>
      <c r="C21" s="18">
        <v>41</v>
      </c>
      <c r="D21" s="11" t="s">
        <v>30</v>
      </c>
      <c r="E21" s="6" t="s">
        <v>31</v>
      </c>
    </row>
    <row r="22" spans="2:7" ht="17" customHeight="1">
      <c r="B22" s="9" t="s">
        <v>32</v>
      </c>
      <c r="C22" s="12">
        <v>600</v>
      </c>
      <c r="D22" s="11" t="s">
        <v>33</v>
      </c>
      <c r="E22" s="6" t="s">
        <v>34</v>
      </c>
    </row>
    <row r="23" spans="2:7" ht="17" customHeight="1">
      <c r="B23" s="42" t="s">
        <v>35</v>
      </c>
    </row>
    <row r="24" spans="2:7" ht="17" customHeight="1">
      <c r="B24" s="9" t="s">
        <v>36</v>
      </c>
      <c r="C24" s="19">
        <v>0.4</v>
      </c>
      <c r="D24" s="11" t="s">
        <v>8</v>
      </c>
      <c r="E24" s="6" t="s">
        <v>37</v>
      </c>
    </row>
    <row r="25" spans="2:7" ht="17" customHeight="1">
      <c r="B25" s="9" t="s">
        <v>38</v>
      </c>
      <c r="C25" s="18">
        <v>39</v>
      </c>
      <c r="D25" s="11" t="s">
        <v>39</v>
      </c>
      <c r="E25" s="6" t="s">
        <v>37</v>
      </c>
    </row>
    <row r="26" spans="2:7" ht="17" customHeight="1">
      <c r="B26" s="9" t="s">
        <v>40</v>
      </c>
      <c r="C26" s="18">
        <v>70.8</v>
      </c>
      <c r="D26" s="11" t="s">
        <v>41</v>
      </c>
      <c r="E26" s="6" t="s">
        <v>42</v>
      </c>
    </row>
    <row r="27" spans="2:7" ht="17" customHeight="1">
      <c r="B27" s="9" t="s">
        <v>43</v>
      </c>
      <c r="C27" s="12">
        <v>100</v>
      </c>
      <c r="D27" s="11" t="s">
        <v>13</v>
      </c>
      <c r="E27" s="6" t="s">
        <v>44</v>
      </c>
    </row>
    <row r="28" spans="2:7" ht="17" customHeight="1">
      <c r="B28" s="9" t="s">
        <v>45</v>
      </c>
      <c r="C28" s="18">
        <v>120</v>
      </c>
      <c r="D28" s="11" t="s">
        <v>30</v>
      </c>
      <c r="E28" s="6" t="s">
        <v>42</v>
      </c>
    </row>
    <row r="29" spans="2:7" ht="17" customHeight="1">
      <c r="B29" s="9" t="s">
        <v>46</v>
      </c>
      <c r="C29" s="18">
        <v>0</v>
      </c>
      <c r="D29" s="11" t="s">
        <v>47</v>
      </c>
      <c r="E29" s="6" t="s">
        <v>48</v>
      </c>
    </row>
    <row r="30" spans="2:7" ht="17" customHeight="1">
      <c r="B30" s="43" t="s">
        <v>49</v>
      </c>
    </row>
    <row r="31" spans="2:7" ht="17" customHeight="1">
      <c r="B31" s="9" t="s">
        <v>36</v>
      </c>
      <c r="C31" s="19">
        <v>0.15</v>
      </c>
      <c r="D31" s="11" t="s">
        <v>8</v>
      </c>
      <c r="E31" s="6" t="s">
        <v>50</v>
      </c>
    </row>
    <row r="32" spans="2:7" ht="17" customHeight="1">
      <c r="B32" s="9" t="s">
        <v>38</v>
      </c>
      <c r="C32" s="18">
        <v>30</v>
      </c>
      <c r="D32" s="11" t="s">
        <v>39</v>
      </c>
      <c r="E32" s="6" t="s">
        <v>51</v>
      </c>
    </row>
    <row r="33" spans="2:20" ht="17" customHeight="1">
      <c r="B33" s="9" t="s">
        <v>52</v>
      </c>
      <c r="C33" s="12">
        <v>95</v>
      </c>
      <c r="D33" s="11" t="s">
        <v>13</v>
      </c>
      <c r="E33" s="6" t="s">
        <v>53</v>
      </c>
    </row>
    <row r="34" spans="2:20" ht="17" customHeight="1">
      <c r="B34" s="9" t="s">
        <v>54</v>
      </c>
      <c r="C34" s="18">
        <v>18.6</v>
      </c>
      <c r="D34" s="11" t="s">
        <v>30</v>
      </c>
      <c r="E34" s="6" t="s">
        <v>55</v>
      </c>
    </row>
    <row r="35" spans="2:20" ht="17" customHeight="1">
      <c r="B35" s="9" t="s">
        <v>56</v>
      </c>
      <c r="C35" s="12">
        <v>682</v>
      </c>
      <c r="D35" s="11" t="s">
        <v>41</v>
      </c>
      <c r="E35" s="6" t="s">
        <v>55</v>
      </c>
    </row>
    <row r="36" spans="2:20" ht="17" customHeight="1">
      <c r="B36" s="9" t="s">
        <v>57</v>
      </c>
      <c r="C36" s="12">
        <v>600</v>
      </c>
      <c r="D36" s="11" t="s">
        <v>33</v>
      </c>
      <c r="E36" s="6" t="s">
        <v>34</v>
      </c>
    </row>
    <row r="37" spans="2:20" ht="17" customHeight="1">
      <c r="B37" s="9" t="s">
        <v>58</v>
      </c>
      <c r="C37" s="44">
        <v>0.1775</v>
      </c>
      <c r="D37" s="11" t="s">
        <v>59</v>
      </c>
      <c r="E37" s="6" t="s">
        <v>60</v>
      </c>
    </row>
    <row r="38" spans="2:20" ht="17" customHeight="1">
      <c r="B38" s="42" t="s">
        <v>61</v>
      </c>
    </row>
    <row r="39" spans="2:20" ht="17" customHeight="1">
      <c r="B39" s="9" t="s">
        <v>62</v>
      </c>
      <c r="C39" s="19">
        <v>4</v>
      </c>
      <c r="D39" s="11" t="s">
        <v>19</v>
      </c>
      <c r="E39" s="6" t="s">
        <v>63</v>
      </c>
      <c r="I39" s="45" t="str">
        <f>Ship_NoteBasis</f>
        <v>Per ship-day is not like-for-like on cargo: the NH3 ship carries 4,842 t of H2 (as NH3) against 2,832 t on the LH2 ship, about 1.71x more. Per-tonne basis breakeven: USD 1.68/kg.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spans="2:20" ht="17" customHeight="1">
      <c r="B40" s="9" t="s">
        <v>64</v>
      </c>
      <c r="C40" s="10" t="s">
        <v>65</v>
      </c>
      <c r="D40" s="11" t="s">
        <v>66</v>
      </c>
      <c r="E40" s="6" t="s">
        <v>67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spans="2:20" ht="17" customHeight="1"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spans="2:20" ht="17" customHeight="1">
      <c r="B42" s="7" t="s">
        <v>68</v>
      </c>
      <c r="C42" s="8"/>
      <c r="D42" s="8"/>
      <c r="E42" s="8"/>
      <c r="F42" s="8"/>
      <c r="G42" s="8"/>
    </row>
    <row r="43" spans="2:20" ht="17" customHeight="1">
      <c r="B43" s="9" t="s">
        <v>69</v>
      </c>
      <c r="C43" s="20">
        <f>Ship_Vol*Ship_Fill_L/100*Ship_Rho_L</f>
        <v>2832000</v>
      </c>
      <c r="D43" s="11" t="s">
        <v>70</v>
      </c>
      <c r="E43" s="6" t="s">
        <v>71</v>
      </c>
    </row>
    <row r="44" spans="2:20" ht="17" customHeight="1">
      <c r="B44" s="9" t="s">
        <v>72</v>
      </c>
      <c r="C44" s="20">
        <f>Ship_CargoL*Ship_BOR_L/100</f>
        <v>11328</v>
      </c>
      <c r="D44" s="11" t="s">
        <v>11</v>
      </c>
      <c r="E44" s="6" t="s">
        <v>73</v>
      </c>
    </row>
    <row r="45" spans="2:20" ht="17" customHeight="1">
      <c r="B45" s="9" t="s">
        <v>74</v>
      </c>
      <c r="C45" s="40">
        <f>Ship_Duty_L*1000*Ship_LHV_VLSFO/Ship_LHV_H2</f>
        <v>13325</v>
      </c>
      <c r="D45" s="11" t="s">
        <v>11</v>
      </c>
      <c r="E45" s="6" t="s">
        <v>75</v>
      </c>
    </row>
    <row r="46" spans="2:20" ht="17" customHeight="1">
      <c r="B46" s="9" t="s">
        <v>76</v>
      </c>
      <c r="C46" s="40">
        <f>Ship_HFull*(1-Ship_Pilot_L/100)</f>
        <v>13325</v>
      </c>
      <c r="D46" s="11" t="s">
        <v>11</v>
      </c>
      <c r="E46" s="6" t="s">
        <v>77</v>
      </c>
    </row>
    <row r="47" spans="2:20" ht="17" customHeight="1">
      <c r="B47" s="9" t="s">
        <v>78</v>
      </c>
      <c r="C47" s="20">
        <f>MIN(Ship_BOG,Ship_HCap)</f>
        <v>11328</v>
      </c>
      <c r="D47" s="11" t="s">
        <v>11</v>
      </c>
    </row>
    <row r="48" spans="2:20" ht="17" customHeight="1">
      <c r="B48" s="9" t="s">
        <v>79</v>
      </c>
      <c r="C48" s="20">
        <f>MAX(0,Ship_BOG-Ship_HCap)</f>
        <v>0</v>
      </c>
      <c r="D48" s="11" t="s">
        <v>11</v>
      </c>
      <c r="E48" s="6" t="s">
        <v>80</v>
      </c>
    </row>
    <row r="49" spans="2:7" ht="17" customHeight="1">
      <c r="B49" s="9" t="s">
        <v>81</v>
      </c>
      <c r="C49" s="22">
        <f>Ship_Duty_L-Ship_BOG*Ship_LHV_H2/Ship_LHV_VLSFO/1000</f>
        <v>5.84487804878049</v>
      </c>
      <c r="D49" s="11" t="s">
        <v>15</v>
      </c>
      <c r="E49" s="6" t="s">
        <v>82</v>
      </c>
    </row>
    <row r="50" spans="2:7" ht="17" customHeight="1">
      <c r="B50" s="9" t="s">
        <v>83</v>
      </c>
      <c r="C50" s="22">
        <f>Ship_Duty_L-Ship_Burned*Ship_LHV_H2/Ship_LHV_VLSFO/1000</f>
        <v>5.84487804878049</v>
      </c>
      <c r="D50" s="11" t="s">
        <v>15</v>
      </c>
    </row>
    <row r="51" spans="2:7" ht="17" customHeight="1">
      <c r="B51" s="9" t="s">
        <v>84</v>
      </c>
      <c r="C51" s="20">
        <f>Ship_Vol*Ship_Rho_N</f>
        <v>27280000</v>
      </c>
      <c r="D51" s="11" t="s">
        <v>70</v>
      </c>
    </row>
    <row r="52" spans="2:7" ht="17" customHeight="1">
      <c r="B52" s="9" t="s">
        <v>85</v>
      </c>
      <c r="C52" s="22">
        <f>Ship_Duty_N*Ship_Share_N/100*Ship_LHV_VLSFO/Ship_LHV_N</f>
        <v>62.8225806451613</v>
      </c>
      <c r="D52" s="11" t="s">
        <v>15</v>
      </c>
    </row>
    <row r="53" spans="2:7" ht="17" customHeight="1">
      <c r="B53" s="9" t="s">
        <v>86</v>
      </c>
      <c r="C53" s="22">
        <f>Ship_Duty_N*(1-Ship_Share_N/100)</f>
        <v>1.5</v>
      </c>
      <c r="D53" s="11" t="s">
        <v>15</v>
      </c>
    </row>
    <row r="54" spans="2:7" ht="17" customHeight="1">
      <c r="B54" s="9" t="s">
        <v>87</v>
      </c>
      <c r="C54" s="20">
        <f>Ship_NH3Fuel*Ship_P_N+Ship_PilotN*Ship_P_VLSFO</f>
        <v>38593.5483870968</v>
      </c>
      <c r="D54" s="11" t="s">
        <v>22</v>
      </c>
    </row>
    <row r="55" spans="2:7" ht="17" customHeight="1">
      <c r="B55" s="9" t="s">
        <v>88</v>
      </c>
      <c r="C55" s="20">
        <f>Ship_CargoN*Ship_H2inNH3</f>
        <v>4842200</v>
      </c>
      <c r="D55" s="11" t="s">
        <v>70</v>
      </c>
    </row>
    <row r="56" spans="2:7" ht="17" customHeight="1">
      <c r="B56" s="9" t="s">
        <v>89</v>
      </c>
      <c r="C56" s="47">
        <f>Ship_CargoL/Ship_H2N</f>
        <v>0.584858122341085</v>
      </c>
      <c r="D56" s="11" t="s">
        <v>90</v>
      </c>
      <c r="E56" s="6" t="s">
        <v>91</v>
      </c>
    </row>
    <row r="57" spans="2:7" ht="17" customHeight="1">
      <c r="B57" s="9" t="s">
        <v>92</v>
      </c>
      <c r="C57" s="20">
        <f>IF(Ship_Basis="Per ship-day",Ship_CostN,Ship_CostN*Ship_ScaleN)</f>
        <v>38593.5483870968</v>
      </c>
      <c r="D57" s="11" t="s">
        <v>22</v>
      </c>
    </row>
    <row r="58" spans="2:7" ht="17" customHeight="1">
      <c r="B58" s="9" t="s">
        <v>93</v>
      </c>
      <c r="C58" s="20">
        <f>Ship_Vlsfo*Ship_P_VLSFO</f>
        <v>3506.9268292683</v>
      </c>
      <c r="D58" s="11" t="s">
        <v>22</v>
      </c>
    </row>
    <row r="59" spans="2:7" ht="17" customHeight="1">
      <c r="B59" s="9" t="s">
        <v>18</v>
      </c>
      <c r="C59" s="22">
        <f>IF(Ship_BOG&gt;0,(Ship_CostNcmp-Ship_FixedL)/Ship_BOG,NA())</f>
        <v>3.09733594260491</v>
      </c>
      <c r="D59" s="11" t="s">
        <v>19</v>
      </c>
      <c r="E59" s="6" t="s">
        <v>94</v>
      </c>
    </row>
    <row r="60" spans="2:7" ht="17" customHeight="1">
      <c r="B60" s="9" t="s">
        <v>95</v>
      </c>
      <c r="C60" s="22">
        <f>Ship_P_VLSFO/1000*Ship_LHV_H2/Ship_LHV_VLSFO</f>
        <v>1.75609756097561</v>
      </c>
      <c r="D60" s="11" t="s">
        <v>19</v>
      </c>
      <c r="E60" s="6" t="s">
        <v>96</v>
      </c>
    </row>
    <row r="61" spans="2:7" ht="17" customHeight="1">
      <c r="B61" s="9" t="s">
        <v>97</v>
      </c>
      <c r="C61" s="20">
        <f>Ship_CargoN*Ship_BOR_N/100</f>
        <v>40920</v>
      </c>
      <c r="D61" s="11" t="s">
        <v>11</v>
      </c>
    </row>
    <row r="62" spans="2:7" ht="17" customHeight="1">
      <c r="B62" s="9" t="s">
        <v>98</v>
      </c>
      <c r="C62" s="22">
        <f>IF(Ship_BOG&gt;0,(Ship_CostN*Ship_ScaleN-Ship_FixedL)/Ship_BOG,NA())</f>
        <v>1.68298229298101</v>
      </c>
      <c r="D62" s="11" t="s">
        <v>19</v>
      </c>
    </row>
    <row r="64" spans="2:7" ht="17" customHeight="1">
      <c r="B64" s="7" t="s">
        <v>99</v>
      </c>
      <c r="C64" s="8"/>
      <c r="D64" s="8"/>
      <c r="E64" s="8"/>
      <c r="F64" s="8"/>
      <c r="G64" s="8"/>
    </row>
    <row r="65" spans="2:13" ht="17" customHeight="1">
      <c r="B65" s="23" t="str">
        <f>"Boil-off covers the full fuel demand above "&amp;TEXT(Ship_BorStar,"0.000")&amp;" %/day"</f>
        <v>Boil-off covers the full fuel demand above 0.471 %/day</v>
      </c>
    </row>
    <row r="66" spans="2:13" ht="17" customHeight="1">
      <c r="B66" s="23" t="str">
        <f>IF(ISNUMBER(Ship_BE),IF(Ship_BE&gt;0,"Burning boil-off beats the ammonia ship while H2 is below USD "&amp;TEXT(Ship_BE,"0.00")&amp;"/kg","The ammonia ship is cheaper at any H2 price with these inputs"),"No boil-off: no breakeven")</f>
        <v>Burning boil-off beats the ammonia ship while H2 is below USD 3.10/kg</v>
      </c>
    </row>
    <row r="67" spans="2:13" ht="17" customHeight="1">
      <c r="B67" s="23" t="str">
        <f>"Crossover "&amp;TEXT(Ship_BorStar,"0.000")&amp;" %/d · "&amp;TEXT(Ship_HCap,"#,##0")&amp;" kg/d H2"</f>
        <v>Crossover 0.471 %/d · 13,325 kg/d H2</v>
      </c>
    </row>
    <row r="68" spans="2:13" ht="17" customHeight="1">
      <c r="B68" s="23" t="str">
        <f>"Your case "&amp;TEXT(Ship_BOR_L,"0.00")&amp;" %/d · "&amp;IF(Ship_Surplus&gt;0,TEXT(Ship_Surplus,"#,##0")&amp;" kg/d surplus",TEXT(Ship_HCap-Ship_BOG,"#,##0")&amp;" kg/d short")</f>
        <v>Your case 0.40 %/d · 1,997 kg/d short</v>
      </c>
    </row>
    <row r="69" spans="2:13" ht="17" customHeight="1">
      <c r="B69" s="23" t="str">
        <f>TEXT(Ship_Vlsfo,"0.00")&amp;" t/d at "&amp;TEXT(Ship_BOR_L,"0.00")&amp;" %/d"</f>
        <v>5.84 t/d at 0.40 %/d</v>
      </c>
    </row>
    <row r="70" spans="2:13" ht="17" customHeight="1">
      <c r="B70" s="23" t="str">
        <f>"H2 = VLSFO per GJ at USD "&amp;TEXT(Ship_SW,"0.00")&amp;"/kg"</f>
        <v>H2 = VLSFO per GJ at USD 1.76/kg</v>
      </c>
    </row>
    <row r="71" spans="2:13" ht="17" customHeight="1">
      <c r="B71" s="23" t="str">
        <f>IF(ISNUMBER(Ship_BE),"Breakeven USD "&amp;TEXT(Ship_BE,"0.00")&amp;"/kg","")</f>
        <v>Breakeven USD 3.10/kg</v>
      </c>
    </row>
    <row r="72" spans="2:13" ht="17" customHeight="1">
      <c r="B72" s="23" t="str">
        <f>"H2 price USD "&amp;TEXT(Ship_P_H2,"0.00")&amp;"/kg"</f>
        <v>H2 price USD 4.00/kg</v>
      </c>
    </row>
    <row r="73" spans="2:13" ht="17" customHeight="1">
      <c r="B73" s="23" t="str">
        <f>IF(Ship_BOG&gt;0,"USD "&amp;TEXT((Ship_CostN-Ship_FixedL)/Ship_BOG,"0.00")&amp;"/kg at NH3 USD "&amp;TEXT(Ship_P_N,"#,##0")&amp;"/t","")</f>
        <v>USD 3.10/kg at NH3 USD 600/t</v>
      </c>
    </row>
    <row r="74" spans="2:13" ht="17" customHeight="1">
      <c r="B74" s="23" t="str">
        <f>"Breakeven H2 price vs NH3 fuel price (per ship-day and per tonne H2 carried)"</f>
        <v>Breakeven H2 price vs NH3 fuel price (per ship-day and per tonne H2 carried)</v>
      </c>
    </row>
    <row r="75" spans="2:13" ht="17" customHeight="1">
      <c r="B75" s="23" t="str">
        <f>"VLSFO the LH2 ship still buys, by boil-off rate"</f>
        <v>VLSFO the LH2 ship still buys, by boil-off rate</v>
      </c>
    </row>
    <row r="76" spans="2:13" ht="17" customHeight="1">
      <c r="B76" s="23" t="str">
        <f>IF(Ship_Basis="Per ship-day","Per ship-day is not like-for-like on cargo: the NH3 ship carries "&amp;TEXT(Ship_H2N/1000,"#,##0")&amp;" t of H2 (as NH3) against "&amp;TEXT(Ship_CargoL/1000,"#,##0")&amp;" t on the LH2 ship, about "&amp;TEXT(1/Ship_ScaleN,"0.00")&amp;"x more. Per-tonne basis breakeven: USD "&amp;TEXT(Ship_BEh2,"0.00")&amp;"/kg.","Per tonne H2 carried: NH3 ship daily cost scaled by "&amp;TEXT(Ship_ScaleN,"0.000")&amp;" so both ships move the same hydrogen (upper bound for ammonia: assumes full cracking).")</f>
        <v>Per ship-day is not like-for-like on cargo: the NH3 ship carries 4,842 t of H2 (as NH3) against 2,832 t on the LH2 ship, about 1.71x more. Per-tonne basis breakeven: USD 1.68/kg.</v>
      </c>
    </row>
    <row r="78" spans="2:13" ht="17" customHeight="1">
      <c r="B78" s="7" t="s">
        <v>100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2:13" ht="30" customHeight="1">
      <c r="B79" s="24" t="s">
        <v>101</v>
      </c>
      <c r="C79" s="25" t="s">
        <v>102</v>
      </c>
      <c r="D79" s="25" t="s">
        <v>103</v>
      </c>
      <c r="E79" s="25" t="s">
        <v>104</v>
      </c>
      <c r="F79" s="25" t="s">
        <v>103</v>
      </c>
      <c r="G79" s="25" t="s">
        <v>105</v>
      </c>
      <c r="H79" s="25" t="s">
        <v>103</v>
      </c>
      <c r="I79" s="25" t="s">
        <v>106</v>
      </c>
    </row>
    <row r="80" spans="2:13" ht="17" customHeight="1">
      <c r="B80" s="48">
        <v>0.2</v>
      </c>
      <c r="C80" s="33">
        <f>Ship_Duty_L-Ship_CargoL*$B80/100*Ship_LHV_H2/Ship_LHV_VLSFO/1000</f>
        <v>22.4224390243902</v>
      </c>
      <c r="D80" s="33">
        <v>22.42</v>
      </c>
      <c r="E80" s="33">
        <f>Ship_CargoL*$B80/100</f>
        <v>5664</v>
      </c>
      <c r="F80" s="33">
        <v>5664</v>
      </c>
      <c r="G80" s="33">
        <f>MAX(0,Ship_CargoL*$B80/100-Ship_HCap)</f>
        <v>0</v>
      </c>
      <c r="H80" s="33" t="s">
        <v>90</v>
      </c>
      <c r="I80" s="35" t="str">
        <f>IF(AND(ABS(C80-D80)&lt;0.006,ABS(E80-F80)&lt;0.01,IF(ISNUMBER(H80),ABS(G80-H80)&lt;0.5,G80&lt;0.5)),"✓","differs")</f>
        <v>✓</v>
      </c>
    </row>
    <row r="81" spans="2:13" ht="17" customHeight="1">
      <c r="B81" s="48">
        <v>0.25</v>
      </c>
      <c r="C81" s="33">
        <f>Ship_Duty_L-Ship_CargoL*$B81/100*Ship_LHV_H2/Ship_LHV_VLSFO/1000</f>
        <v>18.2780487804878</v>
      </c>
      <c r="D81" s="33">
        <v>18.28</v>
      </c>
      <c r="E81" s="33">
        <f>Ship_CargoL*$B81/100</f>
        <v>7080</v>
      </c>
      <c r="F81" s="33">
        <v>7080</v>
      </c>
      <c r="G81" s="33">
        <f>MAX(0,Ship_CargoL*$B81/100-Ship_HCap)</f>
        <v>0</v>
      </c>
      <c r="H81" s="33" t="s">
        <v>90</v>
      </c>
      <c r="I81" s="35" t="str">
        <f>IF(AND(ABS(C81-D81)&lt;0.006,ABS(E81-F81)&lt;0.01,IF(ISNUMBER(H81),ABS(G81-H81)&lt;0.5,G81&lt;0.5)),"✓","differs")</f>
        <v>✓</v>
      </c>
    </row>
    <row r="82" spans="2:13" ht="17" customHeight="1">
      <c r="B82" s="48">
        <v>0.3</v>
      </c>
      <c r="C82" s="33">
        <f>Ship_Duty_L-Ship_CargoL*$B82/100*Ship_LHV_H2/Ship_LHV_VLSFO/1000</f>
        <v>14.1336585365854</v>
      </c>
      <c r="D82" s="33">
        <v>14.13</v>
      </c>
      <c r="E82" s="33">
        <f>Ship_CargoL*$B82/100</f>
        <v>8496</v>
      </c>
      <c r="F82" s="33">
        <v>8496</v>
      </c>
      <c r="G82" s="33">
        <f>MAX(0,Ship_CargoL*$B82/100-Ship_HCap)</f>
        <v>0</v>
      </c>
      <c r="H82" s="33" t="s">
        <v>90</v>
      </c>
      <c r="I82" s="35" t="str">
        <f>IF(AND(ABS(C82-D82)&lt;0.006,ABS(E82-F82)&lt;0.01,IF(ISNUMBER(H82),ABS(G82-H82)&lt;0.5,G82&lt;0.5)),"✓","differs")</f>
        <v>✓</v>
      </c>
    </row>
    <row r="83" spans="2:13" ht="17" customHeight="1">
      <c r="B83" s="48">
        <v>0.35</v>
      </c>
      <c r="C83" s="33">
        <f>Ship_Duty_L-Ship_CargoL*$B83/100*Ship_LHV_H2/Ship_LHV_VLSFO/1000</f>
        <v>9.98926829268293</v>
      </c>
      <c r="D83" s="33">
        <v>9.99</v>
      </c>
      <c r="E83" s="33">
        <f>Ship_CargoL*$B83/100</f>
        <v>9912</v>
      </c>
      <c r="F83" s="33">
        <v>9912</v>
      </c>
      <c r="G83" s="33">
        <f>MAX(0,Ship_CargoL*$B83/100-Ship_HCap)</f>
        <v>0</v>
      </c>
      <c r="H83" s="33" t="s">
        <v>90</v>
      </c>
      <c r="I83" s="35" t="str">
        <f>IF(AND(ABS(C83-D83)&lt;0.006,ABS(E83-F83)&lt;0.01,IF(ISNUMBER(H83),ABS(G83-H83)&lt;0.5,G83&lt;0.5)),"✓","differs")</f>
        <v>✓</v>
      </c>
    </row>
    <row r="84" spans="2:13" ht="17" customHeight="1">
      <c r="B84" s="48">
        <v>0.4</v>
      </c>
      <c r="C84" s="33">
        <f>Ship_Duty_L-Ship_CargoL*$B84/100*Ship_LHV_H2/Ship_LHV_VLSFO/1000</f>
        <v>5.84487804878049</v>
      </c>
      <c r="D84" s="33">
        <v>5.84</v>
      </c>
      <c r="E84" s="33">
        <f>Ship_CargoL*$B84/100</f>
        <v>11328</v>
      </c>
      <c r="F84" s="33">
        <v>11328</v>
      </c>
      <c r="G84" s="33">
        <f>MAX(0,Ship_CargoL*$B84/100-Ship_HCap)</f>
        <v>0</v>
      </c>
      <c r="H84" s="33" t="s">
        <v>90</v>
      </c>
      <c r="I84" s="35" t="str">
        <f>IF(AND(ABS(C84-D84)&lt;0.006,ABS(E84-F84)&lt;0.01,IF(ISNUMBER(H84),ABS(G84-H84)&lt;0.5,G84&lt;0.5)),"✓","differs")</f>
        <v>✓</v>
      </c>
    </row>
    <row r="85" spans="2:13" ht="17" customHeight="1">
      <c r="B85" s="48">
        <v>0.45</v>
      </c>
      <c r="C85" s="33">
        <f>Ship_Duty_L-Ship_CargoL*$B85/100*Ship_LHV_H2/Ship_LHV_VLSFO/1000</f>
        <v>1.70048780487805</v>
      </c>
      <c r="D85" s="33">
        <v>1.7</v>
      </c>
      <c r="E85" s="33">
        <f>Ship_CargoL*$B85/100</f>
        <v>12744</v>
      </c>
      <c r="F85" s="33">
        <v>12744</v>
      </c>
      <c r="G85" s="33">
        <f>MAX(0,Ship_CargoL*$B85/100-Ship_HCap)</f>
        <v>0</v>
      </c>
      <c r="H85" s="33" t="s">
        <v>90</v>
      </c>
      <c r="I85" s="35" t="str">
        <f>IF(AND(ABS(C85-D85)&lt;0.006,ABS(E85-F85)&lt;0.01,IF(ISNUMBER(H85),ABS(G85-H85)&lt;0.5,G85&lt;0.5)),"✓","differs")</f>
        <v>✓</v>
      </c>
    </row>
    <row r="86" spans="2:13" ht="17" customHeight="1">
      <c r="B86" s="48">
        <v>0.46</v>
      </c>
      <c r="C86" s="33">
        <f>Ship_Duty_L-Ship_CargoL*$B86/100*Ship_LHV_H2/Ship_LHV_VLSFO/1000</f>
        <v>0.871609756097563</v>
      </c>
      <c r="D86" s="33">
        <v>0.87</v>
      </c>
      <c r="E86" s="33">
        <f>Ship_CargoL*$B86/100</f>
        <v>13027.2</v>
      </c>
      <c r="F86" s="33">
        <v>13027.2</v>
      </c>
      <c r="G86" s="33">
        <f>MAX(0,Ship_CargoL*$B86/100-Ship_HCap)</f>
        <v>0</v>
      </c>
      <c r="H86" s="33" t="s">
        <v>90</v>
      </c>
      <c r="I86" s="35" t="str">
        <f>IF(AND(ABS(C86-D86)&lt;0.006,ABS(E86-F86)&lt;0.01,IF(ISNUMBER(H86),ABS(G86-H86)&lt;0.5,G86&lt;0.5)),"✓","differs")</f>
        <v>✓</v>
      </c>
    </row>
    <row r="87" spans="2:13" ht="17" customHeight="1">
      <c r="B87" s="48">
        <v>0.47</v>
      </c>
      <c r="C87" s="33">
        <f>Ship_Duty_L-Ship_CargoL*$B87/100*Ship_LHV_H2/Ship_LHV_VLSFO/1000</f>
        <v>0.0427317073170741</v>
      </c>
      <c r="D87" s="33">
        <v>0.04</v>
      </c>
      <c r="E87" s="33">
        <f>Ship_CargoL*$B87/100</f>
        <v>13310.4</v>
      </c>
      <c r="F87" s="33">
        <v>13310.4</v>
      </c>
      <c r="G87" s="33">
        <f>MAX(0,Ship_CargoL*$B87/100-Ship_HCap)</f>
        <v>0</v>
      </c>
      <c r="H87" s="33" t="s">
        <v>90</v>
      </c>
      <c r="I87" s="35" t="str">
        <f>IF(AND(ABS(C87-D87)&lt;0.006,ABS(E87-F87)&lt;0.01,IF(ISNUMBER(H87),ABS(G87-H87)&lt;0.5,G87&lt;0.5)),"✓","differs")</f>
        <v>✓</v>
      </c>
    </row>
    <row r="88" spans="2:13" ht="17" customHeight="1">
      <c r="B88" s="48">
        <v>0.48</v>
      </c>
      <c r="C88" s="33">
        <f>Ship_Duty_L-Ship_CargoL*$B88/100*Ship_LHV_H2/Ship_LHV_VLSFO/1000</f>
        <v>-0.786146341463414</v>
      </c>
      <c r="D88" s="33">
        <v>-0.79</v>
      </c>
      <c r="E88" s="33">
        <f>Ship_CargoL*$B88/100</f>
        <v>13593.6</v>
      </c>
      <c r="F88" s="33">
        <v>13593.6</v>
      </c>
      <c r="G88" s="33">
        <f>MAX(0,Ship_CargoL*$B88/100-Ship_HCap)</f>
        <v>268.6</v>
      </c>
      <c r="H88" s="33">
        <v>268.6</v>
      </c>
      <c r="I88" s="35" t="str">
        <f>IF(AND(ABS(C88-D88)&lt;0.006,ABS(E88-F88)&lt;0.01,IF(ISNUMBER(H88),ABS(G88-H88)&lt;0.5,G88&lt;0.5)),"✓","differs")</f>
        <v>✓</v>
      </c>
    </row>
    <row r="89" spans="2:13" ht="17" customHeight="1">
      <c r="B89" s="48">
        <v>0.49</v>
      </c>
      <c r="C89" s="33">
        <f>Ship_Duty_L-Ship_CargoL*$B89/100*Ship_LHV_H2/Ship_LHV_VLSFO/1000</f>
        <v>-1.6150243902439</v>
      </c>
      <c r="D89" s="33">
        <v>-1.62</v>
      </c>
      <c r="E89" s="33">
        <f>Ship_CargoL*$B89/100</f>
        <v>13876.8</v>
      </c>
      <c r="F89" s="33">
        <v>13876.8</v>
      </c>
      <c r="G89" s="33">
        <f>MAX(0,Ship_CargoL*$B89/100-Ship_HCap)</f>
        <v>551.799999999999</v>
      </c>
      <c r="H89" s="33">
        <v>551.8</v>
      </c>
      <c r="I89" s="35" t="str">
        <f>IF(AND(ABS(C89-D89)&lt;0.006,ABS(E89-F89)&lt;0.01,IF(ISNUMBER(H89),ABS(G89-H89)&lt;0.5,G89&lt;0.5)),"✓","differs")</f>
        <v>✓</v>
      </c>
    </row>
    <row r="90" spans="2:13" ht="17" customHeight="1">
      <c r="B90" s="48">
        <v>0.5</v>
      </c>
      <c r="C90" s="33">
        <f>Ship_Duty_L-Ship_CargoL*$B90/100*Ship_LHV_H2/Ship_LHV_VLSFO/1000</f>
        <v>-2.44390243902438</v>
      </c>
      <c r="D90" s="33">
        <v>-2.44</v>
      </c>
      <c r="E90" s="33">
        <f>Ship_CargoL*$B90/100</f>
        <v>14160</v>
      </c>
      <c r="F90" s="33">
        <v>14160</v>
      </c>
      <c r="G90" s="33">
        <f>MAX(0,Ship_CargoL*$B90/100-Ship_HCap)</f>
        <v>835</v>
      </c>
      <c r="H90" s="33">
        <v>835</v>
      </c>
      <c r="I90" s="35" t="str">
        <f>IF(AND(ABS(C90-D90)&lt;0.006,ABS(E90-F90)&lt;0.01,IF(ISNUMBER(H90),ABS(G90-H90)&lt;0.5,G90&lt;0.5)),"✓","differs")</f>
        <v>✓</v>
      </c>
    </row>
    <row r="91" spans="2:13" ht="17" customHeight="1">
      <c r="B91" s="48">
        <v>0.55</v>
      </c>
      <c r="C91" s="33">
        <f>Ship_Duty_L-Ship_CargoL*$B91/100*Ship_LHV_H2/Ship_LHV_VLSFO/1000</f>
        <v>-6.58829268292683</v>
      </c>
      <c r="D91" s="33">
        <v>-6.59</v>
      </c>
      <c r="E91" s="33">
        <f>Ship_CargoL*$B91/100</f>
        <v>15576</v>
      </c>
      <c r="F91" s="33">
        <v>15576</v>
      </c>
      <c r="G91" s="33">
        <f>MAX(0,Ship_CargoL*$B91/100-Ship_HCap)</f>
        <v>2251</v>
      </c>
      <c r="H91" s="33">
        <v>2251</v>
      </c>
      <c r="I91" s="35" t="str">
        <f>IF(AND(ABS(C91-D91)&lt;0.006,ABS(E91-F91)&lt;0.01,IF(ISNUMBER(H91),ABS(G91-H91)&lt;0.5,G91&lt;0.5)),"✓","differs")</f>
        <v>✓</v>
      </c>
    </row>
    <row r="92" spans="2:13" ht="17" customHeight="1">
      <c r="B92" s="48">
        <v>0.6</v>
      </c>
      <c r="C92" s="33">
        <f>Ship_Duty_L-Ship_CargoL*$B92/100*Ship_LHV_H2/Ship_LHV_VLSFO/1000</f>
        <v>-10.7326829268293</v>
      </c>
      <c r="D92" s="33">
        <v>-10.73</v>
      </c>
      <c r="E92" s="33">
        <f>Ship_CargoL*$B92/100</f>
        <v>16992</v>
      </c>
      <c r="F92" s="33">
        <v>16992</v>
      </c>
      <c r="G92" s="33">
        <f>MAX(0,Ship_CargoL*$B92/100-Ship_HCap)</f>
        <v>3667</v>
      </c>
      <c r="H92" s="33">
        <v>3667</v>
      </c>
      <c r="I92" s="35" t="str">
        <f>IF(AND(ABS(C92-D92)&lt;0.006,ABS(E92-F92)&lt;0.01,IF(ISNUMBER(H92),ABS(G92-H92)&lt;0.5,G92&lt;0.5)),"✓","differs")</f>
        <v>✓</v>
      </c>
    </row>
    <row r="93" spans="2:13" ht="17" customHeight="1">
      <c r="B93" s="23" t="str">
        <f>IF(COUNTIF(I80:I92,"✓")=13,"Verified: every row reproduces to the rounding the user used (H₂ LHV 120, VLSFO LHV ≈ 41.0 MJ/kg, 70.8 kg/m³ on the full 40,000 m³). At the stated 0.40 %/day there is no surplus.","Inputs differ from the user basis or some rows differ: see the Match column.")</f>
        <v>Verified: every row reproduces to the rounding the user used (H₂ LHV 120, VLSFO LHV ≈ 41.0 MJ/kg, 70.8 kg/m³ on the full 40,000 m³). At the stated 0.40 %/day there is no surplus.</v>
      </c>
    </row>
    <row r="95" spans="2:13" ht="17" customHeight="1">
      <c r="B95" s="7" t="s">
        <v>107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2:13" ht="42" customHeight="1">
      <c r="B96" s="24" t="s">
        <v>101</v>
      </c>
      <c r="C96" s="25" t="s">
        <v>104</v>
      </c>
      <c r="D96" s="25" t="s">
        <v>108</v>
      </c>
      <c r="E96" s="25" t="s">
        <v>109</v>
      </c>
      <c r="F96" s="25" t="s">
        <v>110</v>
      </c>
      <c r="G96" s="25" t="s">
        <v>111</v>
      </c>
      <c r="H96" s="25" t="s">
        <v>112</v>
      </c>
      <c r="I96" s="25" t="s">
        <v>113</v>
      </c>
      <c r="J96" s="25" t="s">
        <v>114</v>
      </c>
      <c r="K96" s="25" t="s">
        <v>115</v>
      </c>
      <c r="L96" s="25" t="s">
        <v>116</v>
      </c>
    </row>
    <row r="97" spans="2:12" ht="17" customHeight="1">
      <c r="B97" s="49">
        <v>0.1</v>
      </c>
      <c r="C97" s="39">
        <f>Ship_CargoL*$B97/100</f>
        <v>2832</v>
      </c>
      <c r="D97" s="39">
        <f>Ship_HCap</f>
        <v>13325</v>
      </c>
      <c r="E97" s="39">
        <f>MAX(0,C97-Ship_HCap)</f>
        <v>0</v>
      </c>
      <c r="F97" s="39">
        <f>Ship_Duty_L-MIN(C97,Ship_HCap)*Ship_LHV_H2/Ship_LHV_VLSFO/1000</f>
        <v>30.7112195121951</v>
      </c>
      <c r="G97" s="39" t="e">
        <f>IF(E97&gt;0,Ship_Duty_L-C97*Ship_LHV_H2/Ship_LHV_VLSFO/1000,NA())</f>
        <v>#N/A</v>
      </c>
      <c r="H97" s="39" t="e">
        <f>IF(ABS($B97-Ship_BorStar)&lt;=0.0025,Ship_HCap,NA())</f>
        <v>#N/A</v>
      </c>
      <c r="I97" s="39" t="e">
        <f>IF(ABS($B97-Ship_BOR_L)&lt;=0.0025,Ship_BOG,NA())</f>
        <v>#N/A</v>
      </c>
      <c r="J97" s="39" t="e">
        <f>IF(ABS($B97-Ship_BOR_L)&lt;=0.0025,Ship_Vlsfo,NA())</f>
        <v>#N/A</v>
      </c>
      <c r="K97" s="39" t="e">
        <f>IF(ABS($B97-Ship_BorStar)&lt;=0.0025,MAX(Ship_Duty_L,0),NA())</f>
        <v>#N/A</v>
      </c>
      <c r="L97" s="39" t="str">
        <f>IF(MOD(0,20)=0,TEXT($B97,"0.0"),"")</f>
        <v>0.1</v>
      </c>
    </row>
    <row r="98" spans="2:12" ht="17" customHeight="1">
      <c r="B98" s="49">
        <v>0.105</v>
      </c>
      <c r="C98" s="39">
        <f>Ship_CargoL*$B98/100</f>
        <v>2973.6</v>
      </c>
      <c r="D98" s="39">
        <f>Ship_HCap</f>
        <v>13325</v>
      </c>
      <c r="E98" s="39">
        <f>MAX(0,C98-Ship_HCap)</f>
        <v>0</v>
      </c>
      <c r="F98" s="39">
        <f>Ship_Duty_L-MIN(C98,Ship_HCap)*Ship_LHV_H2/Ship_LHV_VLSFO/1000</f>
        <v>30.2967804878049</v>
      </c>
      <c r="G98" s="39" t="e">
        <f>IF(E98&gt;0,Ship_Duty_L-C98*Ship_LHV_H2/Ship_LHV_VLSFO/1000,NA())</f>
        <v>#N/A</v>
      </c>
      <c r="H98" s="39" t="e">
        <f>IF(ABS($B98-Ship_BorStar)&lt;=0.0025,Ship_HCap,NA())</f>
        <v>#N/A</v>
      </c>
      <c r="I98" s="39" t="e">
        <f>IF(ABS($B98-Ship_BOR_L)&lt;=0.0025,Ship_BOG,NA())</f>
        <v>#N/A</v>
      </c>
      <c r="J98" s="39" t="e">
        <f>IF(ABS($B98-Ship_BOR_L)&lt;=0.0025,Ship_Vlsfo,NA())</f>
        <v>#N/A</v>
      </c>
      <c r="K98" s="39" t="e">
        <f>IF(ABS($B98-Ship_BorStar)&lt;=0.0025,MAX(Ship_Duty_L,0),NA())</f>
        <v>#N/A</v>
      </c>
      <c r="L98" s="39">
        <f>IF(MOD(1,20)=0,TEXT($B98,"0.0"),"")</f>
        <v/>
      </c>
    </row>
    <row r="99" spans="2:12" ht="17" customHeight="1">
      <c r="B99" s="49">
        <v>0.11</v>
      </c>
      <c r="C99" s="39">
        <f>Ship_CargoL*$B99/100</f>
        <v>3115.2</v>
      </c>
      <c r="D99" s="39">
        <f>Ship_HCap</f>
        <v>13325</v>
      </c>
      <c r="E99" s="39">
        <f>MAX(0,C99-Ship_HCap)</f>
        <v>0</v>
      </c>
      <c r="F99" s="39">
        <f>Ship_Duty_L-MIN(C99,Ship_HCap)*Ship_LHV_H2/Ship_LHV_VLSFO/1000</f>
        <v>29.8823414634146</v>
      </c>
      <c r="G99" s="39" t="e">
        <f>IF(E99&gt;0,Ship_Duty_L-C99*Ship_LHV_H2/Ship_LHV_VLSFO/1000,NA())</f>
        <v>#N/A</v>
      </c>
      <c r="H99" s="39" t="e">
        <f>IF(ABS($B99-Ship_BorStar)&lt;=0.0025,Ship_HCap,NA())</f>
        <v>#N/A</v>
      </c>
      <c r="I99" s="39" t="e">
        <f>IF(ABS($B99-Ship_BOR_L)&lt;=0.0025,Ship_BOG,NA())</f>
        <v>#N/A</v>
      </c>
      <c r="J99" s="39" t="e">
        <f>IF(ABS($B99-Ship_BOR_L)&lt;=0.0025,Ship_Vlsfo,NA())</f>
        <v>#N/A</v>
      </c>
      <c r="K99" s="39" t="e">
        <f>IF(ABS($B99-Ship_BorStar)&lt;=0.0025,MAX(Ship_Duty_L,0),NA())</f>
        <v>#N/A</v>
      </c>
      <c r="L99" s="39">
        <f>IF(MOD(2,20)=0,TEXT($B99,"0.0"),"")</f>
        <v/>
      </c>
    </row>
    <row r="100" spans="2:12" ht="17" customHeight="1">
      <c r="B100" s="49">
        <v>0.115</v>
      </c>
      <c r="C100" s="39">
        <f>Ship_CargoL*$B100/100</f>
        <v>3256.8</v>
      </c>
      <c r="D100" s="39">
        <f>Ship_HCap</f>
        <v>13325</v>
      </c>
      <c r="E100" s="39">
        <f>MAX(0,C100-Ship_HCap)</f>
        <v>0</v>
      </c>
      <c r="F100" s="39">
        <f>Ship_Duty_L-MIN(C100,Ship_HCap)*Ship_LHV_H2/Ship_LHV_VLSFO/1000</f>
        <v>29.4679024390244</v>
      </c>
      <c r="G100" s="39" t="e">
        <f>IF(E100&gt;0,Ship_Duty_L-C100*Ship_LHV_H2/Ship_LHV_VLSFO/1000,NA())</f>
        <v>#N/A</v>
      </c>
      <c r="H100" s="39" t="e">
        <f>IF(ABS($B100-Ship_BorStar)&lt;=0.0025,Ship_HCap,NA())</f>
        <v>#N/A</v>
      </c>
      <c r="I100" s="39" t="e">
        <f>IF(ABS($B100-Ship_BOR_L)&lt;=0.0025,Ship_BOG,NA())</f>
        <v>#N/A</v>
      </c>
      <c r="J100" s="39" t="e">
        <f>IF(ABS($B100-Ship_BOR_L)&lt;=0.0025,Ship_Vlsfo,NA())</f>
        <v>#N/A</v>
      </c>
      <c r="K100" s="39" t="e">
        <f>IF(ABS($B100-Ship_BorStar)&lt;=0.0025,MAX(Ship_Duty_L,0),NA())</f>
        <v>#N/A</v>
      </c>
      <c r="L100" s="39">
        <f>IF(MOD(3,20)=0,TEXT($B100,"0.0"),"")</f>
        <v/>
      </c>
    </row>
    <row r="101" spans="2:12" ht="17" customHeight="1">
      <c r="B101" s="49">
        <v>0.12</v>
      </c>
      <c r="C101" s="39">
        <f>Ship_CargoL*$B101/100</f>
        <v>3398.4</v>
      </c>
      <c r="D101" s="39">
        <f>Ship_HCap</f>
        <v>13325</v>
      </c>
      <c r="E101" s="39">
        <f>MAX(0,C101-Ship_HCap)</f>
        <v>0</v>
      </c>
      <c r="F101" s="39">
        <f>Ship_Duty_L-MIN(C101,Ship_HCap)*Ship_LHV_H2/Ship_LHV_VLSFO/1000</f>
        <v>29.0534634146341</v>
      </c>
      <c r="G101" s="39" t="e">
        <f>IF(E101&gt;0,Ship_Duty_L-C101*Ship_LHV_H2/Ship_LHV_VLSFO/1000,NA())</f>
        <v>#N/A</v>
      </c>
      <c r="H101" s="39" t="e">
        <f>IF(ABS($B101-Ship_BorStar)&lt;=0.0025,Ship_HCap,NA())</f>
        <v>#N/A</v>
      </c>
      <c r="I101" s="39" t="e">
        <f>IF(ABS($B101-Ship_BOR_L)&lt;=0.0025,Ship_BOG,NA())</f>
        <v>#N/A</v>
      </c>
      <c r="J101" s="39" t="e">
        <f>IF(ABS($B101-Ship_BOR_L)&lt;=0.0025,Ship_Vlsfo,NA())</f>
        <v>#N/A</v>
      </c>
      <c r="K101" s="39" t="e">
        <f>IF(ABS($B101-Ship_BorStar)&lt;=0.0025,MAX(Ship_Duty_L,0),NA())</f>
        <v>#N/A</v>
      </c>
      <c r="L101" s="39">
        <f>IF(MOD(4,20)=0,TEXT($B101,"0.0"),"")</f>
        <v/>
      </c>
    </row>
    <row r="102" spans="2:12" ht="17" customHeight="1">
      <c r="B102" s="49">
        <v>0.125</v>
      </c>
      <c r="C102" s="39">
        <f>Ship_CargoL*$B102/100</f>
        <v>3540</v>
      </c>
      <c r="D102" s="39">
        <f>Ship_HCap</f>
        <v>13325</v>
      </c>
      <c r="E102" s="39">
        <f>MAX(0,C102-Ship_HCap)</f>
        <v>0</v>
      </c>
      <c r="F102" s="39">
        <f>Ship_Duty_L-MIN(C102,Ship_HCap)*Ship_LHV_H2/Ship_LHV_VLSFO/1000</f>
        <v>28.6390243902439</v>
      </c>
      <c r="G102" s="39" t="e">
        <f>IF(E102&gt;0,Ship_Duty_L-C102*Ship_LHV_H2/Ship_LHV_VLSFO/1000,NA())</f>
        <v>#N/A</v>
      </c>
      <c r="H102" s="39" t="e">
        <f>IF(ABS($B102-Ship_BorStar)&lt;=0.0025,Ship_HCap,NA())</f>
        <v>#N/A</v>
      </c>
      <c r="I102" s="39" t="e">
        <f>IF(ABS($B102-Ship_BOR_L)&lt;=0.0025,Ship_BOG,NA())</f>
        <v>#N/A</v>
      </c>
      <c r="J102" s="39" t="e">
        <f>IF(ABS($B102-Ship_BOR_L)&lt;=0.0025,Ship_Vlsfo,NA())</f>
        <v>#N/A</v>
      </c>
      <c r="K102" s="39" t="e">
        <f>IF(ABS($B102-Ship_BorStar)&lt;=0.0025,MAX(Ship_Duty_L,0),NA())</f>
        <v>#N/A</v>
      </c>
      <c r="L102" s="39">
        <f>IF(MOD(5,20)=0,TEXT($B102,"0.0"),"")</f>
        <v/>
      </c>
    </row>
    <row r="103" spans="2:12" ht="17" customHeight="1">
      <c r="B103" s="49">
        <v>0.13</v>
      </c>
      <c r="C103" s="39">
        <f>Ship_CargoL*$B103/100</f>
        <v>3681.6</v>
      </c>
      <c r="D103" s="39">
        <f>Ship_HCap</f>
        <v>13325</v>
      </c>
      <c r="E103" s="39">
        <f>MAX(0,C103-Ship_HCap)</f>
        <v>0</v>
      </c>
      <c r="F103" s="39">
        <f>Ship_Duty_L-MIN(C103,Ship_HCap)*Ship_LHV_H2/Ship_LHV_VLSFO/1000</f>
        <v>28.2245853658537</v>
      </c>
      <c r="G103" s="39" t="e">
        <f>IF(E103&gt;0,Ship_Duty_L-C103*Ship_LHV_H2/Ship_LHV_VLSFO/1000,NA())</f>
        <v>#N/A</v>
      </c>
      <c r="H103" s="39" t="e">
        <f>IF(ABS($B103-Ship_BorStar)&lt;=0.0025,Ship_HCap,NA())</f>
        <v>#N/A</v>
      </c>
      <c r="I103" s="39" t="e">
        <f>IF(ABS($B103-Ship_BOR_L)&lt;=0.0025,Ship_BOG,NA())</f>
        <v>#N/A</v>
      </c>
      <c r="J103" s="39" t="e">
        <f>IF(ABS($B103-Ship_BOR_L)&lt;=0.0025,Ship_Vlsfo,NA())</f>
        <v>#N/A</v>
      </c>
      <c r="K103" s="39" t="e">
        <f>IF(ABS($B103-Ship_BorStar)&lt;=0.0025,MAX(Ship_Duty_L,0),NA())</f>
        <v>#N/A</v>
      </c>
      <c r="L103" s="39">
        <f>IF(MOD(6,20)=0,TEXT($B103,"0.0"),"")</f>
        <v/>
      </c>
    </row>
    <row r="104" spans="2:12" ht="17" customHeight="1">
      <c r="B104" s="49">
        <v>0.135</v>
      </c>
      <c r="C104" s="39">
        <f>Ship_CargoL*$B104/100</f>
        <v>3823.2</v>
      </c>
      <c r="D104" s="39">
        <f>Ship_HCap</f>
        <v>13325</v>
      </c>
      <c r="E104" s="39">
        <f>MAX(0,C104-Ship_HCap)</f>
        <v>0</v>
      </c>
      <c r="F104" s="39">
        <f>Ship_Duty_L-MIN(C104,Ship_HCap)*Ship_LHV_H2/Ship_LHV_VLSFO/1000</f>
        <v>27.8101463414634</v>
      </c>
      <c r="G104" s="39" t="e">
        <f>IF(E104&gt;0,Ship_Duty_L-C104*Ship_LHV_H2/Ship_LHV_VLSFO/1000,NA())</f>
        <v>#N/A</v>
      </c>
      <c r="H104" s="39" t="e">
        <f>IF(ABS($B104-Ship_BorStar)&lt;=0.0025,Ship_HCap,NA())</f>
        <v>#N/A</v>
      </c>
      <c r="I104" s="39" t="e">
        <f>IF(ABS($B104-Ship_BOR_L)&lt;=0.0025,Ship_BOG,NA())</f>
        <v>#N/A</v>
      </c>
      <c r="J104" s="39" t="e">
        <f>IF(ABS($B104-Ship_BOR_L)&lt;=0.0025,Ship_Vlsfo,NA())</f>
        <v>#N/A</v>
      </c>
      <c r="K104" s="39" t="e">
        <f>IF(ABS($B104-Ship_BorStar)&lt;=0.0025,MAX(Ship_Duty_L,0),NA())</f>
        <v>#N/A</v>
      </c>
      <c r="L104" s="39">
        <f>IF(MOD(7,20)=0,TEXT($B104,"0.0"),"")</f>
        <v/>
      </c>
    </row>
    <row r="105" spans="2:12" ht="17" customHeight="1">
      <c r="B105" s="49">
        <v>0.14</v>
      </c>
      <c r="C105" s="39">
        <f>Ship_CargoL*$B105/100</f>
        <v>3964.8</v>
      </c>
      <c r="D105" s="39">
        <f>Ship_HCap</f>
        <v>13325</v>
      </c>
      <c r="E105" s="39">
        <f>MAX(0,C105-Ship_HCap)</f>
        <v>0</v>
      </c>
      <c r="F105" s="39">
        <f>Ship_Duty_L-MIN(C105,Ship_HCap)*Ship_LHV_H2/Ship_LHV_VLSFO/1000</f>
        <v>27.3957073170732</v>
      </c>
      <c r="G105" s="39" t="e">
        <f>IF(E105&gt;0,Ship_Duty_L-C105*Ship_LHV_H2/Ship_LHV_VLSFO/1000,NA())</f>
        <v>#N/A</v>
      </c>
      <c r="H105" s="39" t="e">
        <f>IF(ABS($B105-Ship_BorStar)&lt;=0.0025,Ship_HCap,NA())</f>
        <v>#N/A</v>
      </c>
      <c r="I105" s="39" t="e">
        <f>IF(ABS($B105-Ship_BOR_L)&lt;=0.0025,Ship_BOG,NA())</f>
        <v>#N/A</v>
      </c>
      <c r="J105" s="39" t="e">
        <f>IF(ABS($B105-Ship_BOR_L)&lt;=0.0025,Ship_Vlsfo,NA())</f>
        <v>#N/A</v>
      </c>
      <c r="K105" s="39" t="e">
        <f>IF(ABS($B105-Ship_BorStar)&lt;=0.0025,MAX(Ship_Duty_L,0),NA())</f>
        <v>#N/A</v>
      </c>
      <c r="L105" s="39">
        <f>IF(MOD(8,20)=0,TEXT($B105,"0.0"),"")</f>
        <v/>
      </c>
    </row>
    <row r="106" spans="2:12" ht="17" customHeight="1">
      <c r="B106" s="49">
        <v>0.145</v>
      </c>
      <c r="C106" s="39">
        <f>Ship_CargoL*$B106/100</f>
        <v>4106.4</v>
      </c>
      <c r="D106" s="39">
        <f>Ship_HCap</f>
        <v>13325</v>
      </c>
      <c r="E106" s="39">
        <f>MAX(0,C106-Ship_HCap)</f>
        <v>0</v>
      </c>
      <c r="F106" s="39">
        <f>Ship_Duty_L-MIN(C106,Ship_HCap)*Ship_LHV_H2/Ship_LHV_VLSFO/1000</f>
        <v>26.9812682926829</v>
      </c>
      <c r="G106" s="39" t="e">
        <f>IF(E106&gt;0,Ship_Duty_L-C106*Ship_LHV_H2/Ship_LHV_VLSFO/1000,NA())</f>
        <v>#N/A</v>
      </c>
      <c r="H106" s="39" t="e">
        <f>IF(ABS($B106-Ship_BorStar)&lt;=0.0025,Ship_HCap,NA())</f>
        <v>#N/A</v>
      </c>
      <c r="I106" s="39" t="e">
        <f>IF(ABS($B106-Ship_BOR_L)&lt;=0.0025,Ship_BOG,NA())</f>
        <v>#N/A</v>
      </c>
      <c r="J106" s="39" t="e">
        <f>IF(ABS($B106-Ship_BOR_L)&lt;=0.0025,Ship_Vlsfo,NA())</f>
        <v>#N/A</v>
      </c>
      <c r="K106" s="39" t="e">
        <f>IF(ABS($B106-Ship_BorStar)&lt;=0.0025,MAX(Ship_Duty_L,0),NA())</f>
        <v>#N/A</v>
      </c>
      <c r="L106" s="39">
        <f>IF(MOD(9,20)=0,TEXT($B106,"0.0"),"")</f>
        <v/>
      </c>
    </row>
    <row r="107" spans="2:12" ht="17" customHeight="1">
      <c r="B107" s="49">
        <v>0.15</v>
      </c>
      <c r="C107" s="39">
        <f>Ship_CargoL*$B107/100</f>
        <v>4248</v>
      </c>
      <c r="D107" s="39">
        <f>Ship_HCap</f>
        <v>13325</v>
      </c>
      <c r="E107" s="39">
        <f>MAX(0,C107-Ship_HCap)</f>
        <v>0</v>
      </c>
      <c r="F107" s="39">
        <f>Ship_Duty_L-MIN(C107,Ship_HCap)*Ship_LHV_H2/Ship_LHV_VLSFO/1000</f>
        <v>26.5668292682927</v>
      </c>
      <c r="G107" s="39" t="e">
        <f>IF(E107&gt;0,Ship_Duty_L-C107*Ship_LHV_H2/Ship_LHV_VLSFO/1000,NA())</f>
        <v>#N/A</v>
      </c>
      <c r="H107" s="39" t="e">
        <f>IF(ABS($B107-Ship_BorStar)&lt;=0.0025,Ship_HCap,NA())</f>
        <v>#N/A</v>
      </c>
      <c r="I107" s="39" t="e">
        <f>IF(ABS($B107-Ship_BOR_L)&lt;=0.0025,Ship_BOG,NA())</f>
        <v>#N/A</v>
      </c>
      <c r="J107" s="39" t="e">
        <f>IF(ABS($B107-Ship_BOR_L)&lt;=0.0025,Ship_Vlsfo,NA())</f>
        <v>#N/A</v>
      </c>
      <c r="K107" s="39" t="e">
        <f>IF(ABS($B107-Ship_BorStar)&lt;=0.0025,MAX(Ship_Duty_L,0),NA())</f>
        <v>#N/A</v>
      </c>
      <c r="L107" s="39">
        <f>IF(MOD(10,20)=0,TEXT($B107,"0.0"),"")</f>
        <v/>
      </c>
    </row>
    <row r="108" spans="2:12" ht="17" customHeight="1">
      <c r="B108" s="49">
        <v>0.155</v>
      </c>
      <c r="C108" s="39">
        <f>Ship_CargoL*$B108/100</f>
        <v>4389.6</v>
      </c>
      <c r="D108" s="39">
        <f>Ship_HCap</f>
        <v>13325</v>
      </c>
      <c r="E108" s="39">
        <f>MAX(0,C108-Ship_HCap)</f>
        <v>0</v>
      </c>
      <c r="F108" s="39">
        <f>Ship_Duty_L-MIN(C108,Ship_HCap)*Ship_LHV_H2/Ship_LHV_VLSFO/1000</f>
        <v>26.1523902439024</v>
      </c>
      <c r="G108" s="39" t="e">
        <f>IF(E108&gt;0,Ship_Duty_L-C108*Ship_LHV_H2/Ship_LHV_VLSFO/1000,NA())</f>
        <v>#N/A</v>
      </c>
      <c r="H108" s="39" t="e">
        <f>IF(ABS($B108-Ship_BorStar)&lt;=0.0025,Ship_HCap,NA())</f>
        <v>#N/A</v>
      </c>
      <c r="I108" s="39" t="e">
        <f>IF(ABS($B108-Ship_BOR_L)&lt;=0.0025,Ship_BOG,NA())</f>
        <v>#N/A</v>
      </c>
      <c r="J108" s="39" t="e">
        <f>IF(ABS($B108-Ship_BOR_L)&lt;=0.0025,Ship_Vlsfo,NA())</f>
        <v>#N/A</v>
      </c>
      <c r="K108" s="39" t="e">
        <f>IF(ABS($B108-Ship_BorStar)&lt;=0.0025,MAX(Ship_Duty_L,0),NA())</f>
        <v>#N/A</v>
      </c>
      <c r="L108" s="39">
        <f>IF(MOD(11,20)=0,TEXT($B108,"0.0"),"")</f>
        <v/>
      </c>
    </row>
    <row r="109" spans="2:12" ht="17" customHeight="1">
      <c r="B109" s="49">
        <v>0.16</v>
      </c>
      <c r="C109" s="39">
        <f>Ship_CargoL*$B109/100</f>
        <v>4531.2</v>
      </c>
      <c r="D109" s="39">
        <f>Ship_HCap</f>
        <v>13325</v>
      </c>
      <c r="E109" s="39">
        <f>MAX(0,C109-Ship_HCap)</f>
        <v>0</v>
      </c>
      <c r="F109" s="39">
        <f>Ship_Duty_L-MIN(C109,Ship_HCap)*Ship_LHV_H2/Ship_LHV_VLSFO/1000</f>
        <v>25.7379512195122</v>
      </c>
      <c r="G109" s="39" t="e">
        <f>IF(E109&gt;0,Ship_Duty_L-C109*Ship_LHV_H2/Ship_LHV_VLSFO/1000,NA())</f>
        <v>#N/A</v>
      </c>
      <c r="H109" s="39" t="e">
        <f>IF(ABS($B109-Ship_BorStar)&lt;=0.0025,Ship_HCap,NA())</f>
        <v>#N/A</v>
      </c>
      <c r="I109" s="39" t="e">
        <f>IF(ABS($B109-Ship_BOR_L)&lt;=0.0025,Ship_BOG,NA())</f>
        <v>#N/A</v>
      </c>
      <c r="J109" s="39" t="e">
        <f>IF(ABS($B109-Ship_BOR_L)&lt;=0.0025,Ship_Vlsfo,NA())</f>
        <v>#N/A</v>
      </c>
      <c r="K109" s="39" t="e">
        <f>IF(ABS($B109-Ship_BorStar)&lt;=0.0025,MAX(Ship_Duty_L,0),NA())</f>
        <v>#N/A</v>
      </c>
      <c r="L109" s="39">
        <f>IF(MOD(12,20)=0,TEXT($B109,"0.0"),"")</f>
        <v/>
      </c>
    </row>
    <row r="110" spans="2:12" ht="17" customHeight="1">
      <c r="B110" s="49">
        <v>0.165</v>
      </c>
      <c r="C110" s="39">
        <f>Ship_CargoL*$B110/100</f>
        <v>4672.8</v>
      </c>
      <c r="D110" s="39">
        <f>Ship_HCap</f>
        <v>13325</v>
      </c>
      <c r="E110" s="39">
        <f>MAX(0,C110-Ship_HCap)</f>
        <v>0</v>
      </c>
      <c r="F110" s="39">
        <f>Ship_Duty_L-MIN(C110,Ship_HCap)*Ship_LHV_H2/Ship_LHV_VLSFO/1000</f>
        <v>25.323512195122</v>
      </c>
      <c r="G110" s="39" t="e">
        <f>IF(E110&gt;0,Ship_Duty_L-C110*Ship_LHV_H2/Ship_LHV_VLSFO/1000,NA())</f>
        <v>#N/A</v>
      </c>
      <c r="H110" s="39" t="e">
        <f>IF(ABS($B110-Ship_BorStar)&lt;=0.0025,Ship_HCap,NA())</f>
        <v>#N/A</v>
      </c>
      <c r="I110" s="39" t="e">
        <f>IF(ABS($B110-Ship_BOR_L)&lt;=0.0025,Ship_BOG,NA())</f>
        <v>#N/A</v>
      </c>
      <c r="J110" s="39" t="e">
        <f>IF(ABS($B110-Ship_BOR_L)&lt;=0.0025,Ship_Vlsfo,NA())</f>
        <v>#N/A</v>
      </c>
      <c r="K110" s="39" t="e">
        <f>IF(ABS($B110-Ship_BorStar)&lt;=0.0025,MAX(Ship_Duty_L,0),NA())</f>
        <v>#N/A</v>
      </c>
      <c r="L110" s="39">
        <f>IF(MOD(13,20)=0,TEXT($B110,"0.0"),"")</f>
        <v/>
      </c>
    </row>
    <row r="111" spans="2:12" ht="17" customHeight="1">
      <c r="B111" s="49">
        <v>0.17</v>
      </c>
      <c r="C111" s="39">
        <f>Ship_CargoL*$B111/100</f>
        <v>4814.4</v>
      </c>
      <c r="D111" s="39">
        <f>Ship_HCap</f>
        <v>13325</v>
      </c>
      <c r="E111" s="39">
        <f>MAX(0,C111-Ship_HCap)</f>
        <v>0</v>
      </c>
      <c r="F111" s="39">
        <f>Ship_Duty_L-MIN(C111,Ship_HCap)*Ship_LHV_H2/Ship_LHV_VLSFO/1000</f>
        <v>24.9090731707317</v>
      </c>
      <c r="G111" s="39" t="e">
        <f>IF(E111&gt;0,Ship_Duty_L-C111*Ship_LHV_H2/Ship_LHV_VLSFO/1000,NA())</f>
        <v>#N/A</v>
      </c>
      <c r="H111" s="39" t="e">
        <f>IF(ABS($B111-Ship_BorStar)&lt;=0.0025,Ship_HCap,NA())</f>
        <v>#N/A</v>
      </c>
      <c r="I111" s="39" t="e">
        <f>IF(ABS($B111-Ship_BOR_L)&lt;=0.0025,Ship_BOG,NA())</f>
        <v>#N/A</v>
      </c>
      <c r="J111" s="39" t="e">
        <f>IF(ABS($B111-Ship_BOR_L)&lt;=0.0025,Ship_Vlsfo,NA())</f>
        <v>#N/A</v>
      </c>
      <c r="K111" s="39" t="e">
        <f>IF(ABS($B111-Ship_BorStar)&lt;=0.0025,MAX(Ship_Duty_L,0),NA())</f>
        <v>#N/A</v>
      </c>
      <c r="L111" s="39">
        <f>IF(MOD(14,20)=0,TEXT($B111,"0.0"),"")</f>
        <v/>
      </c>
    </row>
    <row r="112" spans="2:12" ht="17" customHeight="1">
      <c r="B112" s="49">
        <v>0.175</v>
      </c>
      <c r="C112" s="39">
        <f>Ship_CargoL*$B112/100</f>
        <v>4956</v>
      </c>
      <c r="D112" s="39">
        <f>Ship_HCap</f>
        <v>13325</v>
      </c>
      <c r="E112" s="39">
        <f>MAX(0,C112-Ship_HCap)</f>
        <v>0</v>
      </c>
      <c r="F112" s="39">
        <f>Ship_Duty_L-MIN(C112,Ship_HCap)*Ship_LHV_H2/Ship_LHV_VLSFO/1000</f>
        <v>24.4946341463415</v>
      </c>
      <c r="G112" s="39" t="e">
        <f>IF(E112&gt;0,Ship_Duty_L-C112*Ship_LHV_H2/Ship_LHV_VLSFO/1000,NA())</f>
        <v>#N/A</v>
      </c>
      <c r="H112" s="39" t="e">
        <f>IF(ABS($B112-Ship_BorStar)&lt;=0.0025,Ship_HCap,NA())</f>
        <v>#N/A</v>
      </c>
      <c r="I112" s="39" t="e">
        <f>IF(ABS($B112-Ship_BOR_L)&lt;=0.0025,Ship_BOG,NA())</f>
        <v>#N/A</v>
      </c>
      <c r="J112" s="39" t="e">
        <f>IF(ABS($B112-Ship_BOR_L)&lt;=0.0025,Ship_Vlsfo,NA())</f>
        <v>#N/A</v>
      </c>
      <c r="K112" s="39" t="e">
        <f>IF(ABS($B112-Ship_BorStar)&lt;=0.0025,MAX(Ship_Duty_L,0),NA())</f>
        <v>#N/A</v>
      </c>
      <c r="L112" s="39">
        <f>IF(MOD(15,20)=0,TEXT($B112,"0.0"),"")</f>
        <v/>
      </c>
    </row>
    <row r="113" spans="2:12" ht="17" customHeight="1">
      <c r="B113" s="49">
        <v>0.18</v>
      </c>
      <c r="C113" s="39">
        <f>Ship_CargoL*$B113/100</f>
        <v>5097.6</v>
      </c>
      <c r="D113" s="39">
        <f>Ship_HCap</f>
        <v>13325</v>
      </c>
      <c r="E113" s="39">
        <f>MAX(0,C113-Ship_HCap)</f>
        <v>0</v>
      </c>
      <c r="F113" s="39">
        <f>Ship_Duty_L-MIN(C113,Ship_HCap)*Ship_LHV_H2/Ship_LHV_VLSFO/1000</f>
        <v>24.0801951219512</v>
      </c>
      <c r="G113" s="39" t="e">
        <f>IF(E113&gt;0,Ship_Duty_L-C113*Ship_LHV_H2/Ship_LHV_VLSFO/1000,NA())</f>
        <v>#N/A</v>
      </c>
      <c r="H113" s="39" t="e">
        <f>IF(ABS($B113-Ship_BorStar)&lt;=0.0025,Ship_HCap,NA())</f>
        <v>#N/A</v>
      </c>
      <c r="I113" s="39" t="e">
        <f>IF(ABS($B113-Ship_BOR_L)&lt;=0.0025,Ship_BOG,NA())</f>
        <v>#N/A</v>
      </c>
      <c r="J113" s="39" t="e">
        <f>IF(ABS($B113-Ship_BOR_L)&lt;=0.0025,Ship_Vlsfo,NA())</f>
        <v>#N/A</v>
      </c>
      <c r="K113" s="39" t="e">
        <f>IF(ABS($B113-Ship_BorStar)&lt;=0.0025,MAX(Ship_Duty_L,0),NA())</f>
        <v>#N/A</v>
      </c>
      <c r="L113" s="39">
        <f>IF(MOD(16,20)=0,TEXT($B113,"0.0"),"")</f>
        <v/>
      </c>
    </row>
    <row r="114" spans="2:12" ht="17" customHeight="1">
      <c r="B114" s="49">
        <v>0.185</v>
      </c>
      <c r="C114" s="39">
        <f>Ship_CargoL*$B114/100</f>
        <v>5239.2</v>
      </c>
      <c r="D114" s="39">
        <f>Ship_HCap</f>
        <v>13325</v>
      </c>
      <c r="E114" s="39">
        <f>MAX(0,C114-Ship_HCap)</f>
        <v>0</v>
      </c>
      <c r="F114" s="39">
        <f>Ship_Duty_L-MIN(C114,Ship_HCap)*Ship_LHV_H2/Ship_LHV_VLSFO/1000</f>
        <v>23.665756097561</v>
      </c>
      <c r="G114" s="39" t="e">
        <f>IF(E114&gt;0,Ship_Duty_L-C114*Ship_LHV_H2/Ship_LHV_VLSFO/1000,NA())</f>
        <v>#N/A</v>
      </c>
      <c r="H114" s="39" t="e">
        <f>IF(ABS($B114-Ship_BorStar)&lt;=0.0025,Ship_HCap,NA())</f>
        <v>#N/A</v>
      </c>
      <c r="I114" s="39" t="e">
        <f>IF(ABS($B114-Ship_BOR_L)&lt;=0.0025,Ship_BOG,NA())</f>
        <v>#N/A</v>
      </c>
      <c r="J114" s="39" t="e">
        <f>IF(ABS($B114-Ship_BOR_L)&lt;=0.0025,Ship_Vlsfo,NA())</f>
        <v>#N/A</v>
      </c>
      <c r="K114" s="39" t="e">
        <f>IF(ABS($B114-Ship_BorStar)&lt;=0.0025,MAX(Ship_Duty_L,0),NA())</f>
        <v>#N/A</v>
      </c>
      <c r="L114" s="39">
        <f>IF(MOD(17,20)=0,TEXT($B114,"0.0"),"")</f>
        <v/>
      </c>
    </row>
    <row r="115" spans="2:12" ht="17" customHeight="1">
      <c r="B115" s="49">
        <v>0.19</v>
      </c>
      <c r="C115" s="39">
        <f>Ship_CargoL*$B115/100</f>
        <v>5380.8</v>
      </c>
      <c r="D115" s="39">
        <f>Ship_HCap</f>
        <v>13325</v>
      </c>
      <c r="E115" s="39">
        <f>MAX(0,C115-Ship_HCap)</f>
        <v>0</v>
      </c>
      <c r="F115" s="39">
        <f>Ship_Duty_L-MIN(C115,Ship_HCap)*Ship_LHV_H2/Ship_LHV_VLSFO/1000</f>
        <v>23.2513170731707</v>
      </c>
      <c r="G115" s="39" t="e">
        <f>IF(E115&gt;0,Ship_Duty_L-C115*Ship_LHV_H2/Ship_LHV_VLSFO/1000,NA())</f>
        <v>#N/A</v>
      </c>
      <c r="H115" s="39" t="e">
        <f>IF(ABS($B115-Ship_BorStar)&lt;=0.0025,Ship_HCap,NA())</f>
        <v>#N/A</v>
      </c>
      <c r="I115" s="39" t="e">
        <f>IF(ABS($B115-Ship_BOR_L)&lt;=0.0025,Ship_BOG,NA())</f>
        <v>#N/A</v>
      </c>
      <c r="J115" s="39" t="e">
        <f>IF(ABS($B115-Ship_BOR_L)&lt;=0.0025,Ship_Vlsfo,NA())</f>
        <v>#N/A</v>
      </c>
      <c r="K115" s="39" t="e">
        <f>IF(ABS($B115-Ship_BorStar)&lt;=0.0025,MAX(Ship_Duty_L,0),NA())</f>
        <v>#N/A</v>
      </c>
      <c r="L115" s="39">
        <f>IF(MOD(18,20)=0,TEXT($B115,"0.0"),"")</f>
        <v/>
      </c>
    </row>
    <row r="116" spans="2:12" ht="17" customHeight="1">
      <c r="B116" s="49">
        <v>0.195</v>
      </c>
      <c r="C116" s="39">
        <f>Ship_CargoL*$B116/100</f>
        <v>5522.4</v>
      </c>
      <c r="D116" s="39">
        <f>Ship_HCap</f>
        <v>13325</v>
      </c>
      <c r="E116" s="39">
        <f>MAX(0,C116-Ship_HCap)</f>
        <v>0</v>
      </c>
      <c r="F116" s="39">
        <f>Ship_Duty_L-MIN(C116,Ship_HCap)*Ship_LHV_H2/Ship_LHV_VLSFO/1000</f>
        <v>22.8368780487805</v>
      </c>
      <c r="G116" s="39" t="e">
        <f>IF(E116&gt;0,Ship_Duty_L-C116*Ship_LHV_H2/Ship_LHV_VLSFO/1000,NA())</f>
        <v>#N/A</v>
      </c>
      <c r="H116" s="39" t="e">
        <f>IF(ABS($B116-Ship_BorStar)&lt;=0.0025,Ship_HCap,NA())</f>
        <v>#N/A</v>
      </c>
      <c r="I116" s="39" t="e">
        <f>IF(ABS($B116-Ship_BOR_L)&lt;=0.0025,Ship_BOG,NA())</f>
        <v>#N/A</v>
      </c>
      <c r="J116" s="39" t="e">
        <f>IF(ABS($B116-Ship_BOR_L)&lt;=0.0025,Ship_Vlsfo,NA())</f>
        <v>#N/A</v>
      </c>
      <c r="K116" s="39" t="e">
        <f>IF(ABS($B116-Ship_BorStar)&lt;=0.0025,MAX(Ship_Duty_L,0),NA())</f>
        <v>#N/A</v>
      </c>
      <c r="L116" s="39">
        <f>IF(MOD(19,20)=0,TEXT($B116,"0.0"),"")</f>
        <v/>
      </c>
    </row>
    <row r="117" spans="2:12" ht="17" customHeight="1">
      <c r="B117" s="49">
        <v>0.2</v>
      </c>
      <c r="C117" s="39">
        <f>Ship_CargoL*$B117/100</f>
        <v>5664</v>
      </c>
      <c r="D117" s="39">
        <f>Ship_HCap</f>
        <v>13325</v>
      </c>
      <c r="E117" s="39">
        <f>MAX(0,C117-Ship_HCap)</f>
        <v>0</v>
      </c>
      <c r="F117" s="39">
        <f>Ship_Duty_L-MIN(C117,Ship_HCap)*Ship_LHV_H2/Ship_LHV_VLSFO/1000</f>
        <v>22.4224390243902</v>
      </c>
      <c r="G117" s="39" t="e">
        <f>IF(E117&gt;0,Ship_Duty_L-C117*Ship_LHV_H2/Ship_LHV_VLSFO/1000,NA())</f>
        <v>#N/A</v>
      </c>
      <c r="H117" s="39" t="e">
        <f>IF(ABS($B117-Ship_BorStar)&lt;=0.0025,Ship_HCap,NA())</f>
        <v>#N/A</v>
      </c>
      <c r="I117" s="39" t="e">
        <f>IF(ABS($B117-Ship_BOR_L)&lt;=0.0025,Ship_BOG,NA())</f>
        <v>#N/A</v>
      </c>
      <c r="J117" s="39" t="e">
        <f>IF(ABS($B117-Ship_BOR_L)&lt;=0.0025,Ship_Vlsfo,NA())</f>
        <v>#N/A</v>
      </c>
      <c r="K117" s="39" t="e">
        <f>IF(ABS($B117-Ship_BorStar)&lt;=0.0025,MAX(Ship_Duty_L,0),NA())</f>
        <v>#N/A</v>
      </c>
      <c r="L117" s="39" t="str">
        <f>IF(MOD(20,20)=0,TEXT($B117,"0.0"),"")</f>
        <v>0.2</v>
      </c>
    </row>
    <row r="118" spans="2:12" ht="17" customHeight="1">
      <c r="B118" s="49">
        <v>0.205</v>
      </c>
      <c r="C118" s="39">
        <f>Ship_CargoL*$B118/100</f>
        <v>5805.6</v>
      </c>
      <c r="D118" s="39">
        <f>Ship_HCap</f>
        <v>13325</v>
      </c>
      <c r="E118" s="39">
        <f>MAX(0,C118-Ship_HCap)</f>
        <v>0</v>
      </c>
      <c r="F118" s="39">
        <f>Ship_Duty_L-MIN(C118,Ship_HCap)*Ship_LHV_H2/Ship_LHV_VLSFO/1000</f>
        <v>22.008</v>
      </c>
      <c r="G118" s="39" t="e">
        <f>IF(E118&gt;0,Ship_Duty_L-C118*Ship_LHV_H2/Ship_LHV_VLSFO/1000,NA())</f>
        <v>#N/A</v>
      </c>
      <c r="H118" s="39" t="e">
        <f>IF(ABS($B118-Ship_BorStar)&lt;=0.0025,Ship_HCap,NA())</f>
        <v>#N/A</v>
      </c>
      <c r="I118" s="39" t="e">
        <f>IF(ABS($B118-Ship_BOR_L)&lt;=0.0025,Ship_BOG,NA())</f>
        <v>#N/A</v>
      </c>
      <c r="J118" s="39" t="e">
        <f>IF(ABS($B118-Ship_BOR_L)&lt;=0.0025,Ship_Vlsfo,NA())</f>
        <v>#N/A</v>
      </c>
      <c r="K118" s="39" t="e">
        <f>IF(ABS($B118-Ship_BorStar)&lt;=0.0025,MAX(Ship_Duty_L,0),NA())</f>
        <v>#N/A</v>
      </c>
      <c r="L118" s="39">
        <f>IF(MOD(21,20)=0,TEXT($B118,"0.0"),"")</f>
        <v/>
      </c>
    </row>
    <row r="119" spans="2:12" ht="17" customHeight="1">
      <c r="B119" s="49">
        <v>0.21</v>
      </c>
      <c r="C119" s="39">
        <f>Ship_CargoL*$B119/100</f>
        <v>5947.2</v>
      </c>
      <c r="D119" s="39">
        <f>Ship_HCap</f>
        <v>13325</v>
      </c>
      <c r="E119" s="39">
        <f>MAX(0,C119-Ship_HCap)</f>
        <v>0</v>
      </c>
      <c r="F119" s="39">
        <f>Ship_Duty_L-MIN(C119,Ship_HCap)*Ship_LHV_H2/Ship_LHV_VLSFO/1000</f>
        <v>21.5935609756098</v>
      </c>
      <c r="G119" s="39" t="e">
        <f>IF(E119&gt;0,Ship_Duty_L-C119*Ship_LHV_H2/Ship_LHV_VLSFO/1000,NA())</f>
        <v>#N/A</v>
      </c>
      <c r="H119" s="39" t="e">
        <f>IF(ABS($B119-Ship_BorStar)&lt;=0.0025,Ship_HCap,NA())</f>
        <v>#N/A</v>
      </c>
      <c r="I119" s="39" t="e">
        <f>IF(ABS($B119-Ship_BOR_L)&lt;=0.0025,Ship_BOG,NA())</f>
        <v>#N/A</v>
      </c>
      <c r="J119" s="39" t="e">
        <f>IF(ABS($B119-Ship_BOR_L)&lt;=0.0025,Ship_Vlsfo,NA())</f>
        <v>#N/A</v>
      </c>
      <c r="K119" s="39" t="e">
        <f>IF(ABS($B119-Ship_BorStar)&lt;=0.0025,MAX(Ship_Duty_L,0),NA())</f>
        <v>#N/A</v>
      </c>
      <c r="L119" s="39">
        <f>IF(MOD(22,20)=0,TEXT($B119,"0.0"),"")</f>
        <v/>
      </c>
    </row>
    <row r="120" spans="2:12" ht="17" customHeight="1">
      <c r="B120" s="49">
        <v>0.215</v>
      </c>
      <c r="C120" s="39">
        <f>Ship_CargoL*$B120/100</f>
        <v>6088.8</v>
      </c>
      <c r="D120" s="39">
        <f>Ship_HCap</f>
        <v>13325</v>
      </c>
      <c r="E120" s="39">
        <f>MAX(0,C120-Ship_HCap)</f>
        <v>0</v>
      </c>
      <c r="F120" s="39">
        <f>Ship_Duty_L-MIN(C120,Ship_HCap)*Ship_LHV_H2/Ship_LHV_VLSFO/1000</f>
        <v>21.1791219512195</v>
      </c>
      <c r="G120" s="39" t="e">
        <f>IF(E120&gt;0,Ship_Duty_L-C120*Ship_LHV_H2/Ship_LHV_VLSFO/1000,NA())</f>
        <v>#N/A</v>
      </c>
      <c r="H120" s="39" t="e">
        <f>IF(ABS($B120-Ship_BorStar)&lt;=0.0025,Ship_HCap,NA())</f>
        <v>#N/A</v>
      </c>
      <c r="I120" s="39" t="e">
        <f>IF(ABS($B120-Ship_BOR_L)&lt;=0.0025,Ship_BOG,NA())</f>
        <v>#N/A</v>
      </c>
      <c r="J120" s="39" t="e">
        <f>IF(ABS($B120-Ship_BOR_L)&lt;=0.0025,Ship_Vlsfo,NA())</f>
        <v>#N/A</v>
      </c>
      <c r="K120" s="39" t="e">
        <f>IF(ABS($B120-Ship_BorStar)&lt;=0.0025,MAX(Ship_Duty_L,0),NA())</f>
        <v>#N/A</v>
      </c>
      <c r="L120" s="39">
        <f>IF(MOD(23,20)=0,TEXT($B120,"0.0"),"")</f>
        <v/>
      </c>
    </row>
    <row r="121" spans="2:12" ht="17" customHeight="1">
      <c r="B121" s="49">
        <v>0.22</v>
      </c>
      <c r="C121" s="39">
        <f>Ship_CargoL*$B121/100</f>
        <v>6230.4</v>
      </c>
      <c r="D121" s="39">
        <f>Ship_HCap</f>
        <v>13325</v>
      </c>
      <c r="E121" s="39">
        <f>MAX(0,C121-Ship_HCap)</f>
        <v>0</v>
      </c>
      <c r="F121" s="39">
        <f>Ship_Duty_L-MIN(C121,Ship_HCap)*Ship_LHV_H2/Ship_LHV_VLSFO/1000</f>
        <v>20.7646829268293</v>
      </c>
      <c r="G121" s="39" t="e">
        <f>IF(E121&gt;0,Ship_Duty_L-C121*Ship_LHV_H2/Ship_LHV_VLSFO/1000,NA())</f>
        <v>#N/A</v>
      </c>
      <c r="H121" s="39" t="e">
        <f>IF(ABS($B121-Ship_BorStar)&lt;=0.0025,Ship_HCap,NA())</f>
        <v>#N/A</v>
      </c>
      <c r="I121" s="39" t="e">
        <f>IF(ABS($B121-Ship_BOR_L)&lt;=0.0025,Ship_BOG,NA())</f>
        <v>#N/A</v>
      </c>
      <c r="J121" s="39" t="e">
        <f>IF(ABS($B121-Ship_BOR_L)&lt;=0.0025,Ship_Vlsfo,NA())</f>
        <v>#N/A</v>
      </c>
      <c r="K121" s="39" t="e">
        <f>IF(ABS($B121-Ship_BorStar)&lt;=0.0025,MAX(Ship_Duty_L,0),NA())</f>
        <v>#N/A</v>
      </c>
      <c r="L121" s="39">
        <f>IF(MOD(24,20)=0,TEXT($B121,"0.0"),"")</f>
        <v/>
      </c>
    </row>
    <row r="122" spans="2:12" ht="17" customHeight="1">
      <c r="B122" s="49">
        <v>0.225</v>
      </c>
      <c r="C122" s="39">
        <f>Ship_CargoL*$B122/100</f>
        <v>6372</v>
      </c>
      <c r="D122" s="39">
        <f>Ship_HCap</f>
        <v>13325</v>
      </c>
      <c r="E122" s="39">
        <f>MAX(0,C122-Ship_HCap)</f>
        <v>0</v>
      </c>
      <c r="F122" s="39">
        <f>Ship_Duty_L-MIN(C122,Ship_HCap)*Ship_LHV_H2/Ship_LHV_VLSFO/1000</f>
        <v>20.350243902439</v>
      </c>
      <c r="G122" s="39" t="e">
        <f>IF(E122&gt;0,Ship_Duty_L-C122*Ship_LHV_H2/Ship_LHV_VLSFO/1000,NA())</f>
        <v>#N/A</v>
      </c>
      <c r="H122" s="39" t="e">
        <f>IF(ABS($B122-Ship_BorStar)&lt;=0.0025,Ship_HCap,NA())</f>
        <v>#N/A</v>
      </c>
      <c r="I122" s="39" t="e">
        <f>IF(ABS($B122-Ship_BOR_L)&lt;=0.0025,Ship_BOG,NA())</f>
        <v>#N/A</v>
      </c>
      <c r="J122" s="39" t="e">
        <f>IF(ABS($B122-Ship_BOR_L)&lt;=0.0025,Ship_Vlsfo,NA())</f>
        <v>#N/A</v>
      </c>
      <c r="K122" s="39" t="e">
        <f>IF(ABS($B122-Ship_BorStar)&lt;=0.0025,MAX(Ship_Duty_L,0),NA())</f>
        <v>#N/A</v>
      </c>
      <c r="L122" s="39">
        <f>IF(MOD(25,20)=0,TEXT($B122,"0.0"),"")</f>
        <v/>
      </c>
    </row>
    <row r="123" spans="2:12" ht="17" customHeight="1">
      <c r="B123" s="49">
        <v>0.23</v>
      </c>
      <c r="C123" s="39">
        <f>Ship_CargoL*$B123/100</f>
        <v>6513.6</v>
      </c>
      <c r="D123" s="39">
        <f>Ship_HCap</f>
        <v>13325</v>
      </c>
      <c r="E123" s="39">
        <f>MAX(0,C123-Ship_HCap)</f>
        <v>0</v>
      </c>
      <c r="F123" s="39">
        <f>Ship_Duty_L-MIN(C123,Ship_HCap)*Ship_LHV_H2/Ship_LHV_VLSFO/1000</f>
        <v>19.9358048780488</v>
      </c>
      <c r="G123" s="39" t="e">
        <f>IF(E123&gt;0,Ship_Duty_L-C123*Ship_LHV_H2/Ship_LHV_VLSFO/1000,NA())</f>
        <v>#N/A</v>
      </c>
      <c r="H123" s="39" t="e">
        <f>IF(ABS($B123-Ship_BorStar)&lt;=0.0025,Ship_HCap,NA())</f>
        <v>#N/A</v>
      </c>
      <c r="I123" s="39" t="e">
        <f>IF(ABS($B123-Ship_BOR_L)&lt;=0.0025,Ship_BOG,NA())</f>
        <v>#N/A</v>
      </c>
      <c r="J123" s="39" t="e">
        <f>IF(ABS($B123-Ship_BOR_L)&lt;=0.0025,Ship_Vlsfo,NA())</f>
        <v>#N/A</v>
      </c>
      <c r="K123" s="39" t="e">
        <f>IF(ABS($B123-Ship_BorStar)&lt;=0.0025,MAX(Ship_Duty_L,0),NA())</f>
        <v>#N/A</v>
      </c>
      <c r="L123" s="39">
        <f>IF(MOD(26,20)=0,TEXT($B123,"0.0"),"")</f>
        <v/>
      </c>
    </row>
    <row r="124" spans="2:12" ht="17" customHeight="1">
      <c r="B124" s="49">
        <v>0.235</v>
      </c>
      <c r="C124" s="39">
        <f>Ship_CargoL*$B124/100</f>
        <v>6655.2</v>
      </c>
      <c r="D124" s="39">
        <f>Ship_HCap</f>
        <v>13325</v>
      </c>
      <c r="E124" s="39">
        <f>MAX(0,C124-Ship_HCap)</f>
        <v>0</v>
      </c>
      <c r="F124" s="39">
        <f>Ship_Duty_L-MIN(C124,Ship_HCap)*Ship_LHV_H2/Ship_LHV_VLSFO/1000</f>
        <v>19.5213658536585</v>
      </c>
      <c r="G124" s="39" t="e">
        <f>IF(E124&gt;0,Ship_Duty_L-C124*Ship_LHV_H2/Ship_LHV_VLSFO/1000,NA())</f>
        <v>#N/A</v>
      </c>
      <c r="H124" s="39" t="e">
        <f>IF(ABS($B124-Ship_BorStar)&lt;=0.0025,Ship_HCap,NA())</f>
        <v>#N/A</v>
      </c>
      <c r="I124" s="39" t="e">
        <f>IF(ABS($B124-Ship_BOR_L)&lt;=0.0025,Ship_BOG,NA())</f>
        <v>#N/A</v>
      </c>
      <c r="J124" s="39" t="e">
        <f>IF(ABS($B124-Ship_BOR_L)&lt;=0.0025,Ship_Vlsfo,NA())</f>
        <v>#N/A</v>
      </c>
      <c r="K124" s="39" t="e">
        <f>IF(ABS($B124-Ship_BorStar)&lt;=0.0025,MAX(Ship_Duty_L,0),NA())</f>
        <v>#N/A</v>
      </c>
      <c r="L124" s="39">
        <f>IF(MOD(27,20)=0,TEXT($B124,"0.0"),"")</f>
        <v/>
      </c>
    </row>
    <row r="125" spans="2:12" ht="17" customHeight="1">
      <c r="B125" s="49">
        <v>0.24</v>
      </c>
      <c r="C125" s="39">
        <f>Ship_CargoL*$B125/100</f>
        <v>6796.8</v>
      </c>
      <c r="D125" s="39">
        <f>Ship_HCap</f>
        <v>13325</v>
      </c>
      <c r="E125" s="39">
        <f>MAX(0,C125-Ship_HCap)</f>
        <v>0</v>
      </c>
      <c r="F125" s="39">
        <f>Ship_Duty_L-MIN(C125,Ship_HCap)*Ship_LHV_H2/Ship_LHV_VLSFO/1000</f>
        <v>19.1069268292683</v>
      </c>
      <c r="G125" s="39" t="e">
        <f>IF(E125&gt;0,Ship_Duty_L-C125*Ship_LHV_H2/Ship_LHV_VLSFO/1000,NA())</f>
        <v>#N/A</v>
      </c>
      <c r="H125" s="39" t="e">
        <f>IF(ABS($B125-Ship_BorStar)&lt;=0.0025,Ship_HCap,NA())</f>
        <v>#N/A</v>
      </c>
      <c r="I125" s="39" t="e">
        <f>IF(ABS($B125-Ship_BOR_L)&lt;=0.0025,Ship_BOG,NA())</f>
        <v>#N/A</v>
      </c>
      <c r="J125" s="39" t="e">
        <f>IF(ABS($B125-Ship_BOR_L)&lt;=0.0025,Ship_Vlsfo,NA())</f>
        <v>#N/A</v>
      </c>
      <c r="K125" s="39" t="e">
        <f>IF(ABS($B125-Ship_BorStar)&lt;=0.0025,MAX(Ship_Duty_L,0),NA())</f>
        <v>#N/A</v>
      </c>
      <c r="L125" s="39">
        <f>IF(MOD(28,20)=0,TEXT($B125,"0.0"),"")</f>
        <v/>
      </c>
    </row>
    <row r="126" spans="2:12" ht="17" customHeight="1">
      <c r="B126" s="49">
        <v>0.245</v>
      </c>
      <c r="C126" s="39">
        <f>Ship_CargoL*$B126/100</f>
        <v>6938.4</v>
      </c>
      <c r="D126" s="39">
        <f>Ship_HCap</f>
        <v>13325</v>
      </c>
      <c r="E126" s="39">
        <f>MAX(0,C126-Ship_HCap)</f>
        <v>0</v>
      </c>
      <c r="F126" s="39">
        <f>Ship_Duty_L-MIN(C126,Ship_HCap)*Ship_LHV_H2/Ship_LHV_VLSFO/1000</f>
        <v>18.6924878048781</v>
      </c>
      <c r="G126" s="39" t="e">
        <f>IF(E126&gt;0,Ship_Duty_L-C126*Ship_LHV_H2/Ship_LHV_VLSFO/1000,NA())</f>
        <v>#N/A</v>
      </c>
      <c r="H126" s="39" t="e">
        <f>IF(ABS($B126-Ship_BorStar)&lt;=0.0025,Ship_HCap,NA())</f>
        <v>#N/A</v>
      </c>
      <c r="I126" s="39" t="e">
        <f>IF(ABS($B126-Ship_BOR_L)&lt;=0.0025,Ship_BOG,NA())</f>
        <v>#N/A</v>
      </c>
      <c r="J126" s="39" t="e">
        <f>IF(ABS($B126-Ship_BOR_L)&lt;=0.0025,Ship_Vlsfo,NA())</f>
        <v>#N/A</v>
      </c>
      <c r="K126" s="39" t="e">
        <f>IF(ABS($B126-Ship_BorStar)&lt;=0.0025,MAX(Ship_Duty_L,0),NA())</f>
        <v>#N/A</v>
      </c>
      <c r="L126" s="39">
        <f>IF(MOD(29,20)=0,TEXT($B126,"0.0"),"")</f>
        <v/>
      </c>
    </row>
    <row r="127" spans="2:12" ht="17" customHeight="1">
      <c r="B127" s="49">
        <v>0.25</v>
      </c>
      <c r="C127" s="39">
        <f>Ship_CargoL*$B127/100</f>
        <v>7080</v>
      </c>
      <c r="D127" s="39">
        <f>Ship_HCap</f>
        <v>13325</v>
      </c>
      <c r="E127" s="39">
        <f>MAX(0,C127-Ship_HCap)</f>
        <v>0</v>
      </c>
      <c r="F127" s="39">
        <f>Ship_Duty_L-MIN(C127,Ship_HCap)*Ship_LHV_H2/Ship_LHV_VLSFO/1000</f>
        <v>18.2780487804878</v>
      </c>
      <c r="G127" s="39" t="e">
        <f>IF(E127&gt;0,Ship_Duty_L-C127*Ship_LHV_H2/Ship_LHV_VLSFO/1000,NA())</f>
        <v>#N/A</v>
      </c>
      <c r="H127" s="39" t="e">
        <f>IF(ABS($B127-Ship_BorStar)&lt;=0.0025,Ship_HCap,NA())</f>
        <v>#N/A</v>
      </c>
      <c r="I127" s="39" t="e">
        <f>IF(ABS($B127-Ship_BOR_L)&lt;=0.0025,Ship_BOG,NA())</f>
        <v>#N/A</v>
      </c>
      <c r="J127" s="39" t="e">
        <f>IF(ABS($B127-Ship_BOR_L)&lt;=0.0025,Ship_Vlsfo,NA())</f>
        <v>#N/A</v>
      </c>
      <c r="K127" s="39" t="e">
        <f>IF(ABS($B127-Ship_BorStar)&lt;=0.0025,MAX(Ship_Duty_L,0),NA())</f>
        <v>#N/A</v>
      </c>
      <c r="L127" s="39">
        <f>IF(MOD(30,20)=0,TEXT($B127,"0.0"),"")</f>
        <v/>
      </c>
    </row>
    <row r="128" spans="2:12" ht="17" customHeight="1">
      <c r="B128" s="49">
        <v>0.255</v>
      </c>
      <c r="C128" s="39">
        <f>Ship_CargoL*$B128/100</f>
        <v>7221.6</v>
      </c>
      <c r="D128" s="39">
        <f>Ship_HCap</f>
        <v>13325</v>
      </c>
      <c r="E128" s="39">
        <f>MAX(0,C128-Ship_HCap)</f>
        <v>0</v>
      </c>
      <c r="F128" s="39">
        <f>Ship_Duty_L-MIN(C128,Ship_HCap)*Ship_LHV_H2/Ship_LHV_VLSFO/1000</f>
        <v>17.8636097560976</v>
      </c>
      <c r="G128" s="39" t="e">
        <f>IF(E128&gt;0,Ship_Duty_L-C128*Ship_LHV_H2/Ship_LHV_VLSFO/1000,NA())</f>
        <v>#N/A</v>
      </c>
      <c r="H128" s="39" t="e">
        <f>IF(ABS($B128-Ship_BorStar)&lt;=0.0025,Ship_HCap,NA())</f>
        <v>#N/A</v>
      </c>
      <c r="I128" s="39" t="e">
        <f>IF(ABS($B128-Ship_BOR_L)&lt;=0.0025,Ship_BOG,NA())</f>
        <v>#N/A</v>
      </c>
      <c r="J128" s="39" t="e">
        <f>IF(ABS($B128-Ship_BOR_L)&lt;=0.0025,Ship_Vlsfo,NA())</f>
        <v>#N/A</v>
      </c>
      <c r="K128" s="39" t="e">
        <f>IF(ABS($B128-Ship_BorStar)&lt;=0.0025,MAX(Ship_Duty_L,0),NA())</f>
        <v>#N/A</v>
      </c>
      <c r="L128" s="39">
        <f>IF(MOD(31,20)=0,TEXT($B128,"0.0"),"")</f>
        <v/>
      </c>
    </row>
    <row r="129" spans="2:12" ht="17" customHeight="1">
      <c r="B129" s="49">
        <v>0.26</v>
      </c>
      <c r="C129" s="39">
        <f>Ship_CargoL*$B129/100</f>
        <v>7363.2</v>
      </c>
      <c r="D129" s="39">
        <f>Ship_HCap</f>
        <v>13325</v>
      </c>
      <c r="E129" s="39">
        <f>MAX(0,C129-Ship_HCap)</f>
        <v>0</v>
      </c>
      <c r="F129" s="39">
        <f>Ship_Duty_L-MIN(C129,Ship_HCap)*Ship_LHV_H2/Ship_LHV_VLSFO/1000</f>
        <v>17.4491707317073</v>
      </c>
      <c r="G129" s="39" t="e">
        <f>IF(E129&gt;0,Ship_Duty_L-C129*Ship_LHV_H2/Ship_LHV_VLSFO/1000,NA())</f>
        <v>#N/A</v>
      </c>
      <c r="H129" s="39" t="e">
        <f>IF(ABS($B129-Ship_BorStar)&lt;=0.0025,Ship_HCap,NA())</f>
        <v>#N/A</v>
      </c>
      <c r="I129" s="39" t="e">
        <f>IF(ABS($B129-Ship_BOR_L)&lt;=0.0025,Ship_BOG,NA())</f>
        <v>#N/A</v>
      </c>
      <c r="J129" s="39" t="e">
        <f>IF(ABS($B129-Ship_BOR_L)&lt;=0.0025,Ship_Vlsfo,NA())</f>
        <v>#N/A</v>
      </c>
      <c r="K129" s="39" t="e">
        <f>IF(ABS($B129-Ship_BorStar)&lt;=0.0025,MAX(Ship_Duty_L,0),NA())</f>
        <v>#N/A</v>
      </c>
      <c r="L129" s="39">
        <f>IF(MOD(32,20)=0,TEXT($B129,"0.0"),"")</f>
        <v/>
      </c>
    </row>
    <row r="130" spans="2:12" ht="17" customHeight="1">
      <c r="B130" s="49">
        <v>0.265</v>
      </c>
      <c r="C130" s="39">
        <f>Ship_CargoL*$B130/100</f>
        <v>7504.8</v>
      </c>
      <c r="D130" s="39">
        <f>Ship_HCap</f>
        <v>13325</v>
      </c>
      <c r="E130" s="39">
        <f>MAX(0,C130-Ship_HCap)</f>
        <v>0</v>
      </c>
      <c r="F130" s="39">
        <f>Ship_Duty_L-MIN(C130,Ship_HCap)*Ship_LHV_H2/Ship_LHV_VLSFO/1000</f>
        <v>17.0347317073171</v>
      </c>
      <c r="G130" s="39" t="e">
        <f>IF(E130&gt;0,Ship_Duty_L-C130*Ship_LHV_H2/Ship_LHV_VLSFO/1000,NA())</f>
        <v>#N/A</v>
      </c>
      <c r="H130" s="39" t="e">
        <f>IF(ABS($B130-Ship_BorStar)&lt;=0.0025,Ship_HCap,NA())</f>
        <v>#N/A</v>
      </c>
      <c r="I130" s="39" t="e">
        <f>IF(ABS($B130-Ship_BOR_L)&lt;=0.0025,Ship_BOG,NA())</f>
        <v>#N/A</v>
      </c>
      <c r="J130" s="39" t="e">
        <f>IF(ABS($B130-Ship_BOR_L)&lt;=0.0025,Ship_Vlsfo,NA())</f>
        <v>#N/A</v>
      </c>
      <c r="K130" s="39" t="e">
        <f>IF(ABS($B130-Ship_BorStar)&lt;=0.0025,MAX(Ship_Duty_L,0),NA())</f>
        <v>#N/A</v>
      </c>
      <c r="L130" s="39">
        <f>IF(MOD(33,20)=0,TEXT($B130,"0.0"),"")</f>
        <v/>
      </c>
    </row>
    <row r="131" spans="2:12" ht="17" customHeight="1">
      <c r="B131" s="49">
        <v>0.27</v>
      </c>
      <c r="C131" s="39">
        <f>Ship_CargoL*$B131/100</f>
        <v>7646.4</v>
      </c>
      <c r="D131" s="39">
        <f>Ship_HCap</f>
        <v>13325</v>
      </c>
      <c r="E131" s="39">
        <f>MAX(0,C131-Ship_HCap)</f>
        <v>0</v>
      </c>
      <c r="F131" s="39">
        <f>Ship_Duty_L-MIN(C131,Ship_HCap)*Ship_LHV_H2/Ship_LHV_VLSFO/1000</f>
        <v>16.6202926829268</v>
      </c>
      <c r="G131" s="39" t="e">
        <f>IF(E131&gt;0,Ship_Duty_L-C131*Ship_LHV_H2/Ship_LHV_VLSFO/1000,NA())</f>
        <v>#N/A</v>
      </c>
      <c r="H131" s="39" t="e">
        <f>IF(ABS($B131-Ship_BorStar)&lt;=0.0025,Ship_HCap,NA())</f>
        <v>#N/A</v>
      </c>
      <c r="I131" s="39" t="e">
        <f>IF(ABS($B131-Ship_BOR_L)&lt;=0.0025,Ship_BOG,NA())</f>
        <v>#N/A</v>
      </c>
      <c r="J131" s="39" t="e">
        <f>IF(ABS($B131-Ship_BOR_L)&lt;=0.0025,Ship_Vlsfo,NA())</f>
        <v>#N/A</v>
      </c>
      <c r="K131" s="39" t="e">
        <f>IF(ABS($B131-Ship_BorStar)&lt;=0.0025,MAX(Ship_Duty_L,0),NA())</f>
        <v>#N/A</v>
      </c>
      <c r="L131" s="39">
        <f>IF(MOD(34,20)=0,TEXT($B131,"0.0"),"")</f>
        <v/>
      </c>
    </row>
    <row r="132" spans="2:12" ht="17" customHeight="1">
      <c r="B132" s="49">
        <v>0.275</v>
      </c>
      <c r="C132" s="39">
        <f>Ship_CargoL*$B132/100</f>
        <v>7788</v>
      </c>
      <c r="D132" s="39">
        <f>Ship_HCap</f>
        <v>13325</v>
      </c>
      <c r="E132" s="39">
        <f>MAX(0,C132-Ship_HCap)</f>
        <v>0</v>
      </c>
      <c r="F132" s="39">
        <f>Ship_Duty_L-MIN(C132,Ship_HCap)*Ship_LHV_H2/Ship_LHV_VLSFO/1000</f>
        <v>16.2058536585366</v>
      </c>
      <c r="G132" s="39" t="e">
        <f>IF(E132&gt;0,Ship_Duty_L-C132*Ship_LHV_H2/Ship_LHV_VLSFO/1000,NA())</f>
        <v>#N/A</v>
      </c>
      <c r="H132" s="39" t="e">
        <f>IF(ABS($B132-Ship_BorStar)&lt;=0.0025,Ship_HCap,NA())</f>
        <v>#N/A</v>
      </c>
      <c r="I132" s="39" t="e">
        <f>IF(ABS($B132-Ship_BOR_L)&lt;=0.0025,Ship_BOG,NA())</f>
        <v>#N/A</v>
      </c>
      <c r="J132" s="39" t="e">
        <f>IF(ABS($B132-Ship_BOR_L)&lt;=0.0025,Ship_Vlsfo,NA())</f>
        <v>#N/A</v>
      </c>
      <c r="K132" s="39" t="e">
        <f>IF(ABS($B132-Ship_BorStar)&lt;=0.0025,MAX(Ship_Duty_L,0),NA())</f>
        <v>#N/A</v>
      </c>
      <c r="L132" s="39">
        <f>IF(MOD(35,20)=0,TEXT($B132,"0.0"),"")</f>
        <v/>
      </c>
    </row>
    <row r="133" spans="2:12" ht="17" customHeight="1">
      <c r="B133" s="49">
        <v>0.28</v>
      </c>
      <c r="C133" s="39">
        <f>Ship_CargoL*$B133/100</f>
        <v>7929.6</v>
      </c>
      <c r="D133" s="39">
        <f>Ship_HCap</f>
        <v>13325</v>
      </c>
      <c r="E133" s="39">
        <f>MAX(0,C133-Ship_HCap)</f>
        <v>0</v>
      </c>
      <c r="F133" s="39">
        <f>Ship_Duty_L-MIN(C133,Ship_HCap)*Ship_LHV_H2/Ship_LHV_VLSFO/1000</f>
        <v>15.7914146341463</v>
      </c>
      <c r="G133" s="39" t="e">
        <f>IF(E133&gt;0,Ship_Duty_L-C133*Ship_LHV_H2/Ship_LHV_VLSFO/1000,NA())</f>
        <v>#N/A</v>
      </c>
      <c r="H133" s="39" t="e">
        <f>IF(ABS($B133-Ship_BorStar)&lt;=0.0025,Ship_HCap,NA())</f>
        <v>#N/A</v>
      </c>
      <c r="I133" s="39" t="e">
        <f>IF(ABS($B133-Ship_BOR_L)&lt;=0.0025,Ship_BOG,NA())</f>
        <v>#N/A</v>
      </c>
      <c r="J133" s="39" t="e">
        <f>IF(ABS($B133-Ship_BOR_L)&lt;=0.0025,Ship_Vlsfo,NA())</f>
        <v>#N/A</v>
      </c>
      <c r="K133" s="39" t="e">
        <f>IF(ABS($B133-Ship_BorStar)&lt;=0.0025,MAX(Ship_Duty_L,0),NA())</f>
        <v>#N/A</v>
      </c>
      <c r="L133" s="39">
        <f>IF(MOD(36,20)=0,TEXT($B133,"0.0"),"")</f>
        <v/>
      </c>
    </row>
    <row r="134" spans="2:12" ht="17" customHeight="1">
      <c r="B134" s="49">
        <v>0.285</v>
      </c>
      <c r="C134" s="39">
        <f>Ship_CargoL*$B134/100</f>
        <v>8071.2</v>
      </c>
      <c r="D134" s="39">
        <f>Ship_HCap</f>
        <v>13325</v>
      </c>
      <c r="E134" s="39">
        <f>MAX(0,C134-Ship_HCap)</f>
        <v>0</v>
      </c>
      <c r="F134" s="39">
        <f>Ship_Duty_L-MIN(C134,Ship_HCap)*Ship_LHV_H2/Ship_LHV_VLSFO/1000</f>
        <v>15.3769756097561</v>
      </c>
      <c r="G134" s="39" t="e">
        <f>IF(E134&gt;0,Ship_Duty_L-C134*Ship_LHV_H2/Ship_LHV_VLSFO/1000,NA())</f>
        <v>#N/A</v>
      </c>
      <c r="H134" s="39" t="e">
        <f>IF(ABS($B134-Ship_BorStar)&lt;=0.0025,Ship_HCap,NA())</f>
        <v>#N/A</v>
      </c>
      <c r="I134" s="39" t="e">
        <f>IF(ABS($B134-Ship_BOR_L)&lt;=0.0025,Ship_BOG,NA())</f>
        <v>#N/A</v>
      </c>
      <c r="J134" s="39" t="e">
        <f>IF(ABS($B134-Ship_BOR_L)&lt;=0.0025,Ship_Vlsfo,NA())</f>
        <v>#N/A</v>
      </c>
      <c r="K134" s="39" t="e">
        <f>IF(ABS($B134-Ship_BorStar)&lt;=0.0025,MAX(Ship_Duty_L,0),NA())</f>
        <v>#N/A</v>
      </c>
      <c r="L134" s="39">
        <f>IF(MOD(37,20)=0,TEXT($B134,"0.0"),"")</f>
        <v/>
      </c>
    </row>
    <row r="135" spans="2:12" ht="17" customHeight="1">
      <c r="B135" s="49">
        <v>0.29</v>
      </c>
      <c r="C135" s="39">
        <f>Ship_CargoL*$B135/100</f>
        <v>8212.8</v>
      </c>
      <c r="D135" s="39">
        <f>Ship_HCap</f>
        <v>13325</v>
      </c>
      <c r="E135" s="39">
        <f>MAX(0,C135-Ship_HCap)</f>
        <v>0</v>
      </c>
      <c r="F135" s="39">
        <f>Ship_Duty_L-MIN(C135,Ship_HCap)*Ship_LHV_H2/Ship_LHV_VLSFO/1000</f>
        <v>14.9625365853659</v>
      </c>
      <c r="G135" s="39" t="e">
        <f>IF(E135&gt;0,Ship_Duty_L-C135*Ship_LHV_H2/Ship_LHV_VLSFO/1000,NA())</f>
        <v>#N/A</v>
      </c>
      <c r="H135" s="39" t="e">
        <f>IF(ABS($B135-Ship_BorStar)&lt;=0.0025,Ship_HCap,NA())</f>
        <v>#N/A</v>
      </c>
      <c r="I135" s="39" t="e">
        <f>IF(ABS($B135-Ship_BOR_L)&lt;=0.0025,Ship_BOG,NA())</f>
        <v>#N/A</v>
      </c>
      <c r="J135" s="39" t="e">
        <f>IF(ABS($B135-Ship_BOR_L)&lt;=0.0025,Ship_Vlsfo,NA())</f>
        <v>#N/A</v>
      </c>
      <c r="K135" s="39" t="e">
        <f>IF(ABS($B135-Ship_BorStar)&lt;=0.0025,MAX(Ship_Duty_L,0),NA())</f>
        <v>#N/A</v>
      </c>
      <c r="L135" s="39">
        <f>IF(MOD(38,20)=0,TEXT($B135,"0.0"),"")</f>
        <v/>
      </c>
    </row>
    <row r="136" spans="2:12" ht="17" customHeight="1">
      <c r="B136" s="49">
        <v>0.295</v>
      </c>
      <c r="C136" s="39">
        <f>Ship_CargoL*$B136/100</f>
        <v>8354.4</v>
      </c>
      <c r="D136" s="39">
        <f>Ship_HCap</f>
        <v>13325</v>
      </c>
      <c r="E136" s="39">
        <f>MAX(0,C136-Ship_HCap)</f>
        <v>0</v>
      </c>
      <c r="F136" s="39">
        <f>Ship_Duty_L-MIN(C136,Ship_HCap)*Ship_LHV_H2/Ship_LHV_VLSFO/1000</f>
        <v>14.5480975609756</v>
      </c>
      <c r="G136" s="39" t="e">
        <f>IF(E136&gt;0,Ship_Duty_L-C136*Ship_LHV_H2/Ship_LHV_VLSFO/1000,NA())</f>
        <v>#N/A</v>
      </c>
      <c r="H136" s="39" t="e">
        <f>IF(ABS($B136-Ship_BorStar)&lt;=0.0025,Ship_HCap,NA())</f>
        <v>#N/A</v>
      </c>
      <c r="I136" s="39" t="e">
        <f>IF(ABS($B136-Ship_BOR_L)&lt;=0.0025,Ship_BOG,NA())</f>
        <v>#N/A</v>
      </c>
      <c r="J136" s="39" t="e">
        <f>IF(ABS($B136-Ship_BOR_L)&lt;=0.0025,Ship_Vlsfo,NA())</f>
        <v>#N/A</v>
      </c>
      <c r="K136" s="39" t="e">
        <f>IF(ABS($B136-Ship_BorStar)&lt;=0.0025,MAX(Ship_Duty_L,0),NA())</f>
        <v>#N/A</v>
      </c>
      <c r="L136" s="39">
        <f>IF(MOD(39,20)=0,TEXT($B136,"0.0"),"")</f>
        <v/>
      </c>
    </row>
    <row r="137" spans="2:12" ht="17" customHeight="1">
      <c r="B137" s="49">
        <v>0.3</v>
      </c>
      <c r="C137" s="39">
        <f>Ship_CargoL*$B137/100</f>
        <v>8496</v>
      </c>
      <c r="D137" s="39">
        <f>Ship_HCap</f>
        <v>13325</v>
      </c>
      <c r="E137" s="39">
        <f>MAX(0,C137-Ship_HCap)</f>
        <v>0</v>
      </c>
      <c r="F137" s="39">
        <f>Ship_Duty_L-MIN(C137,Ship_HCap)*Ship_LHV_H2/Ship_LHV_VLSFO/1000</f>
        <v>14.1336585365854</v>
      </c>
      <c r="G137" s="39" t="e">
        <f>IF(E137&gt;0,Ship_Duty_L-C137*Ship_LHV_H2/Ship_LHV_VLSFO/1000,NA())</f>
        <v>#N/A</v>
      </c>
      <c r="H137" s="39" t="e">
        <f>IF(ABS($B137-Ship_BorStar)&lt;=0.0025,Ship_HCap,NA())</f>
        <v>#N/A</v>
      </c>
      <c r="I137" s="39" t="e">
        <f>IF(ABS($B137-Ship_BOR_L)&lt;=0.0025,Ship_BOG,NA())</f>
        <v>#N/A</v>
      </c>
      <c r="J137" s="39" t="e">
        <f>IF(ABS($B137-Ship_BOR_L)&lt;=0.0025,Ship_Vlsfo,NA())</f>
        <v>#N/A</v>
      </c>
      <c r="K137" s="39" t="e">
        <f>IF(ABS($B137-Ship_BorStar)&lt;=0.0025,MAX(Ship_Duty_L,0),NA())</f>
        <v>#N/A</v>
      </c>
      <c r="L137" s="39" t="str">
        <f>IF(MOD(40,20)=0,TEXT($B137,"0.0"),"")</f>
        <v>0.3</v>
      </c>
    </row>
    <row r="138" spans="2:12" ht="17" customHeight="1">
      <c r="B138" s="49">
        <v>0.305</v>
      </c>
      <c r="C138" s="39">
        <f>Ship_CargoL*$B138/100</f>
        <v>8637.6</v>
      </c>
      <c r="D138" s="39">
        <f>Ship_HCap</f>
        <v>13325</v>
      </c>
      <c r="E138" s="39">
        <f>MAX(0,C138-Ship_HCap)</f>
        <v>0</v>
      </c>
      <c r="F138" s="39">
        <f>Ship_Duty_L-MIN(C138,Ship_HCap)*Ship_LHV_H2/Ship_LHV_VLSFO/1000</f>
        <v>13.7192195121951</v>
      </c>
      <c r="G138" s="39" t="e">
        <f>IF(E138&gt;0,Ship_Duty_L-C138*Ship_LHV_H2/Ship_LHV_VLSFO/1000,NA())</f>
        <v>#N/A</v>
      </c>
      <c r="H138" s="39" t="e">
        <f>IF(ABS($B138-Ship_BorStar)&lt;=0.0025,Ship_HCap,NA())</f>
        <v>#N/A</v>
      </c>
      <c r="I138" s="39" t="e">
        <f>IF(ABS($B138-Ship_BOR_L)&lt;=0.0025,Ship_BOG,NA())</f>
        <v>#N/A</v>
      </c>
      <c r="J138" s="39" t="e">
        <f>IF(ABS($B138-Ship_BOR_L)&lt;=0.0025,Ship_Vlsfo,NA())</f>
        <v>#N/A</v>
      </c>
      <c r="K138" s="39" t="e">
        <f>IF(ABS($B138-Ship_BorStar)&lt;=0.0025,MAX(Ship_Duty_L,0),NA())</f>
        <v>#N/A</v>
      </c>
      <c r="L138" s="39">
        <f>IF(MOD(41,20)=0,TEXT($B138,"0.0"),"")</f>
        <v/>
      </c>
    </row>
    <row r="139" spans="2:12" ht="17" customHeight="1">
      <c r="B139" s="49">
        <v>0.31</v>
      </c>
      <c r="C139" s="39">
        <f>Ship_CargoL*$B139/100</f>
        <v>8779.2</v>
      </c>
      <c r="D139" s="39">
        <f>Ship_HCap</f>
        <v>13325</v>
      </c>
      <c r="E139" s="39">
        <f>MAX(0,C139-Ship_HCap)</f>
        <v>0</v>
      </c>
      <c r="F139" s="39">
        <f>Ship_Duty_L-MIN(C139,Ship_HCap)*Ship_LHV_H2/Ship_LHV_VLSFO/1000</f>
        <v>13.3047804878049</v>
      </c>
      <c r="G139" s="39" t="e">
        <f>IF(E139&gt;0,Ship_Duty_L-C139*Ship_LHV_H2/Ship_LHV_VLSFO/1000,NA())</f>
        <v>#N/A</v>
      </c>
      <c r="H139" s="39" t="e">
        <f>IF(ABS($B139-Ship_BorStar)&lt;=0.0025,Ship_HCap,NA())</f>
        <v>#N/A</v>
      </c>
      <c r="I139" s="39" t="e">
        <f>IF(ABS($B139-Ship_BOR_L)&lt;=0.0025,Ship_BOG,NA())</f>
        <v>#N/A</v>
      </c>
      <c r="J139" s="39" t="e">
        <f>IF(ABS($B139-Ship_BOR_L)&lt;=0.0025,Ship_Vlsfo,NA())</f>
        <v>#N/A</v>
      </c>
      <c r="K139" s="39" t="e">
        <f>IF(ABS($B139-Ship_BorStar)&lt;=0.0025,MAX(Ship_Duty_L,0),NA())</f>
        <v>#N/A</v>
      </c>
      <c r="L139" s="39">
        <f>IF(MOD(42,20)=0,TEXT($B139,"0.0"),"")</f>
        <v/>
      </c>
    </row>
    <row r="140" spans="2:12" ht="17" customHeight="1">
      <c r="B140" s="49">
        <v>0.315</v>
      </c>
      <c r="C140" s="39">
        <f>Ship_CargoL*$B140/100</f>
        <v>8920.8</v>
      </c>
      <c r="D140" s="39">
        <f>Ship_HCap</f>
        <v>13325</v>
      </c>
      <c r="E140" s="39">
        <f>MAX(0,C140-Ship_HCap)</f>
        <v>0</v>
      </c>
      <c r="F140" s="39">
        <f>Ship_Duty_L-MIN(C140,Ship_HCap)*Ship_LHV_H2/Ship_LHV_VLSFO/1000</f>
        <v>12.8903414634146</v>
      </c>
      <c r="G140" s="39" t="e">
        <f>IF(E140&gt;0,Ship_Duty_L-C140*Ship_LHV_H2/Ship_LHV_VLSFO/1000,NA())</f>
        <v>#N/A</v>
      </c>
      <c r="H140" s="39" t="e">
        <f>IF(ABS($B140-Ship_BorStar)&lt;=0.0025,Ship_HCap,NA())</f>
        <v>#N/A</v>
      </c>
      <c r="I140" s="39" t="e">
        <f>IF(ABS($B140-Ship_BOR_L)&lt;=0.0025,Ship_BOG,NA())</f>
        <v>#N/A</v>
      </c>
      <c r="J140" s="39" t="e">
        <f>IF(ABS($B140-Ship_BOR_L)&lt;=0.0025,Ship_Vlsfo,NA())</f>
        <v>#N/A</v>
      </c>
      <c r="K140" s="39" t="e">
        <f>IF(ABS($B140-Ship_BorStar)&lt;=0.0025,MAX(Ship_Duty_L,0),NA())</f>
        <v>#N/A</v>
      </c>
      <c r="L140" s="39">
        <f>IF(MOD(43,20)=0,TEXT($B140,"0.0"),"")</f>
        <v/>
      </c>
    </row>
    <row r="141" spans="2:12" ht="17" customHeight="1">
      <c r="B141" s="49">
        <v>0.32</v>
      </c>
      <c r="C141" s="39">
        <f>Ship_CargoL*$B141/100</f>
        <v>9062.4</v>
      </c>
      <c r="D141" s="39">
        <f>Ship_HCap</f>
        <v>13325</v>
      </c>
      <c r="E141" s="39">
        <f>MAX(0,C141-Ship_HCap)</f>
        <v>0</v>
      </c>
      <c r="F141" s="39">
        <f>Ship_Duty_L-MIN(C141,Ship_HCap)*Ship_LHV_H2/Ship_LHV_VLSFO/1000</f>
        <v>12.4759024390244</v>
      </c>
      <c r="G141" s="39" t="e">
        <f>IF(E141&gt;0,Ship_Duty_L-C141*Ship_LHV_H2/Ship_LHV_VLSFO/1000,NA())</f>
        <v>#N/A</v>
      </c>
      <c r="H141" s="39" t="e">
        <f>IF(ABS($B141-Ship_BorStar)&lt;=0.0025,Ship_HCap,NA())</f>
        <v>#N/A</v>
      </c>
      <c r="I141" s="39" t="e">
        <f>IF(ABS($B141-Ship_BOR_L)&lt;=0.0025,Ship_BOG,NA())</f>
        <v>#N/A</v>
      </c>
      <c r="J141" s="39" t="e">
        <f>IF(ABS($B141-Ship_BOR_L)&lt;=0.0025,Ship_Vlsfo,NA())</f>
        <v>#N/A</v>
      </c>
      <c r="K141" s="39" t="e">
        <f>IF(ABS($B141-Ship_BorStar)&lt;=0.0025,MAX(Ship_Duty_L,0),NA())</f>
        <v>#N/A</v>
      </c>
      <c r="L141" s="39">
        <f>IF(MOD(44,20)=0,TEXT($B141,"0.0"),"")</f>
        <v/>
      </c>
    </row>
    <row r="142" spans="2:12" ht="17" customHeight="1">
      <c r="B142" s="49">
        <v>0.325</v>
      </c>
      <c r="C142" s="39">
        <f>Ship_CargoL*$B142/100</f>
        <v>9204</v>
      </c>
      <c r="D142" s="39">
        <f>Ship_HCap</f>
        <v>13325</v>
      </c>
      <c r="E142" s="39">
        <f>MAX(0,C142-Ship_HCap)</f>
        <v>0</v>
      </c>
      <c r="F142" s="39">
        <f>Ship_Duty_L-MIN(C142,Ship_HCap)*Ship_LHV_H2/Ship_LHV_VLSFO/1000</f>
        <v>12.0614634146341</v>
      </c>
      <c r="G142" s="39" t="e">
        <f>IF(E142&gt;0,Ship_Duty_L-C142*Ship_LHV_H2/Ship_LHV_VLSFO/1000,NA())</f>
        <v>#N/A</v>
      </c>
      <c r="H142" s="39" t="e">
        <f>IF(ABS($B142-Ship_BorStar)&lt;=0.0025,Ship_HCap,NA())</f>
        <v>#N/A</v>
      </c>
      <c r="I142" s="39" t="e">
        <f>IF(ABS($B142-Ship_BOR_L)&lt;=0.0025,Ship_BOG,NA())</f>
        <v>#N/A</v>
      </c>
      <c r="J142" s="39" t="e">
        <f>IF(ABS($B142-Ship_BOR_L)&lt;=0.0025,Ship_Vlsfo,NA())</f>
        <v>#N/A</v>
      </c>
      <c r="K142" s="39" t="e">
        <f>IF(ABS($B142-Ship_BorStar)&lt;=0.0025,MAX(Ship_Duty_L,0),NA())</f>
        <v>#N/A</v>
      </c>
      <c r="L142" s="39">
        <f>IF(MOD(45,20)=0,TEXT($B142,"0.0"),"")</f>
        <v/>
      </c>
    </row>
    <row r="143" spans="2:12" ht="17" customHeight="1">
      <c r="B143" s="49">
        <v>0.33</v>
      </c>
      <c r="C143" s="39">
        <f>Ship_CargoL*$B143/100</f>
        <v>9345.6</v>
      </c>
      <c r="D143" s="39">
        <f>Ship_HCap</f>
        <v>13325</v>
      </c>
      <c r="E143" s="39">
        <f>MAX(0,C143-Ship_HCap)</f>
        <v>0</v>
      </c>
      <c r="F143" s="39">
        <f>Ship_Duty_L-MIN(C143,Ship_HCap)*Ship_LHV_H2/Ship_LHV_VLSFO/1000</f>
        <v>11.6470243902439</v>
      </c>
      <c r="G143" s="39" t="e">
        <f>IF(E143&gt;0,Ship_Duty_L-C143*Ship_LHV_H2/Ship_LHV_VLSFO/1000,NA())</f>
        <v>#N/A</v>
      </c>
      <c r="H143" s="39" t="e">
        <f>IF(ABS($B143-Ship_BorStar)&lt;=0.0025,Ship_HCap,NA())</f>
        <v>#N/A</v>
      </c>
      <c r="I143" s="39" t="e">
        <f>IF(ABS($B143-Ship_BOR_L)&lt;=0.0025,Ship_BOG,NA())</f>
        <v>#N/A</v>
      </c>
      <c r="J143" s="39" t="e">
        <f>IF(ABS($B143-Ship_BOR_L)&lt;=0.0025,Ship_Vlsfo,NA())</f>
        <v>#N/A</v>
      </c>
      <c r="K143" s="39" t="e">
        <f>IF(ABS($B143-Ship_BorStar)&lt;=0.0025,MAX(Ship_Duty_L,0),NA())</f>
        <v>#N/A</v>
      </c>
      <c r="L143" s="39">
        <f>IF(MOD(46,20)=0,TEXT($B143,"0.0"),"")</f>
        <v/>
      </c>
    </row>
    <row r="144" spans="2:12" ht="17" customHeight="1">
      <c r="B144" s="49">
        <v>0.335</v>
      </c>
      <c r="C144" s="39">
        <f>Ship_CargoL*$B144/100</f>
        <v>9487.2</v>
      </c>
      <c r="D144" s="39">
        <f>Ship_HCap</f>
        <v>13325</v>
      </c>
      <c r="E144" s="39">
        <f>MAX(0,C144-Ship_HCap)</f>
        <v>0</v>
      </c>
      <c r="F144" s="39">
        <f>Ship_Duty_L-MIN(C144,Ship_HCap)*Ship_LHV_H2/Ship_LHV_VLSFO/1000</f>
        <v>11.2325853658537</v>
      </c>
      <c r="G144" s="39" t="e">
        <f>IF(E144&gt;0,Ship_Duty_L-C144*Ship_LHV_H2/Ship_LHV_VLSFO/1000,NA())</f>
        <v>#N/A</v>
      </c>
      <c r="H144" s="39" t="e">
        <f>IF(ABS($B144-Ship_BorStar)&lt;=0.0025,Ship_HCap,NA())</f>
        <v>#N/A</v>
      </c>
      <c r="I144" s="39" t="e">
        <f>IF(ABS($B144-Ship_BOR_L)&lt;=0.0025,Ship_BOG,NA())</f>
        <v>#N/A</v>
      </c>
      <c r="J144" s="39" t="e">
        <f>IF(ABS($B144-Ship_BOR_L)&lt;=0.0025,Ship_Vlsfo,NA())</f>
        <v>#N/A</v>
      </c>
      <c r="K144" s="39" t="e">
        <f>IF(ABS($B144-Ship_BorStar)&lt;=0.0025,MAX(Ship_Duty_L,0),NA())</f>
        <v>#N/A</v>
      </c>
      <c r="L144" s="39">
        <f>IF(MOD(47,20)=0,TEXT($B144,"0.0"),"")</f>
        <v/>
      </c>
    </row>
    <row r="145" spans="2:12" ht="17" customHeight="1">
      <c r="B145" s="49">
        <v>0.34</v>
      </c>
      <c r="C145" s="39">
        <f>Ship_CargoL*$B145/100</f>
        <v>9628.8</v>
      </c>
      <c r="D145" s="39">
        <f>Ship_HCap</f>
        <v>13325</v>
      </c>
      <c r="E145" s="39">
        <f>MAX(0,C145-Ship_HCap)</f>
        <v>0</v>
      </c>
      <c r="F145" s="39">
        <f>Ship_Duty_L-MIN(C145,Ship_HCap)*Ship_LHV_H2/Ship_LHV_VLSFO/1000</f>
        <v>10.8181463414634</v>
      </c>
      <c r="G145" s="39" t="e">
        <f>IF(E145&gt;0,Ship_Duty_L-C145*Ship_LHV_H2/Ship_LHV_VLSFO/1000,NA())</f>
        <v>#N/A</v>
      </c>
      <c r="H145" s="39" t="e">
        <f>IF(ABS($B145-Ship_BorStar)&lt;=0.0025,Ship_HCap,NA())</f>
        <v>#N/A</v>
      </c>
      <c r="I145" s="39" t="e">
        <f>IF(ABS($B145-Ship_BOR_L)&lt;=0.0025,Ship_BOG,NA())</f>
        <v>#N/A</v>
      </c>
      <c r="J145" s="39" t="e">
        <f>IF(ABS($B145-Ship_BOR_L)&lt;=0.0025,Ship_Vlsfo,NA())</f>
        <v>#N/A</v>
      </c>
      <c r="K145" s="39" t="e">
        <f>IF(ABS($B145-Ship_BorStar)&lt;=0.0025,MAX(Ship_Duty_L,0),NA())</f>
        <v>#N/A</v>
      </c>
      <c r="L145" s="39">
        <f>IF(MOD(48,20)=0,TEXT($B145,"0.0"),"")</f>
        <v/>
      </c>
    </row>
    <row r="146" spans="2:12" ht="17" customHeight="1">
      <c r="B146" s="49">
        <v>0.345</v>
      </c>
      <c r="C146" s="39">
        <f>Ship_CargoL*$B146/100</f>
        <v>9770.4</v>
      </c>
      <c r="D146" s="39">
        <f>Ship_HCap</f>
        <v>13325</v>
      </c>
      <c r="E146" s="39">
        <f>MAX(0,C146-Ship_HCap)</f>
        <v>0</v>
      </c>
      <c r="F146" s="39">
        <f>Ship_Duty_L-MIN(C146,Ship_HCap)*Ship_LHV_H2/Ship_LHV_VLSFO/1000</f>
        <v>10.4037073170732</v>
      </c>
      <c r="G146" s="39" t="e">
        <f>IF(E146&gt;0,Ship_Duty_L-C146*Ship_LHV_H2/Ship_LHV_VLSFO/1000,NA())</f>
        <v>#N/A</v>
      </c>
      <c r="H146" s="39" t="e">
        <f>IF(ABS($B146-Ship_BorStar)&lt;=0.0025,Ship_HCap,NA())</f>
        <v>#N/A</v>
      </c>
      <c r="I146" s="39" t="e">
        <f>IF(ABS($B146-Ship_BOR_L)&lt;=0.0025,Ship_BOG,NA())</f>
        <v>#N/A</v>
      </c>
      <c r="J146" s="39" t="e">
        <f>IF(ABS($B146-Ship_BOR_L)&lt;=0.0025,Ship_Vlsfo,NA())</f>
        <v>#N/A</v>
      </c>
      <c r="K146" s="39" t="e">
        <f>IF(ABS($B146-Ship_BorStar)&lt;=0.0025,MAX(Ship_Duty_L,0),NA())</f>
        <v>#N/A</v>
      </c>
      <c r="L146" s="39">
        <f>IF(MOD(49,20)=0,TEXT($B146,"0.0"),"")</f>
        <v/>
      </c>
    </row>
    <row r="147" spans="2:12" ht="17" customHeight="1">
      <c r="B147" s="49">
        <v>0.35</v>
      </c>
      <c r="C147" s="39">
        <f>Ship_CargoL*$B147/100</f>
        <v>9912</v>
      </c>
      <c r="D147" s="39">
        <f>Ship_HCap</f>
        <v>13325</v>
      </c>
      <c r="E147" s="39">
        <f>MAX(0,C147-Ship_HCap)</f>
        <v>0</v>
      </c>
      <c r="F147" s="39">
        <f>Ship_Duty_L-MIN(C147,Ship_HCap)*Ship_LHV_H2/Ship_LHV_VLSFO/1000</f>
        <v>9.98926829268293</v>
      </c>
      <c r="G147" s="39" t="e">
        <f>IF(E147&gt;0,Ship_Duty_L-C147*Ship_LHV_H2/Ship_LHV_VLSFO/1000,NA())</f>
        <v>#N/A</v>
      </c>
      <c r="H147" s="39" t="e">
        <f>IF(ABS($B147-Ship_BorStar)&lt;=0.0025,Ship_HCap,NA())</f>
        <v>#N/A</v>
      </c>
      <c r="I147" s="39" t="e">
        <f>IF(ABS($B147-Ship_BOR_L)&lt;=0.0025,Ship_BOG,NA())</f>
        <v>#N/A</v>
      </c>
      <c r="J147" s="39" t="e">
        <f>IF(ABS($B147-Ship_BOR_L)&lt;=0.0025,Ship_Vlsfo,NA())</f>
        <v>#N/A</v>
      </c>
      <c r="K147" s="39" t="e">
        <f>IF(ABS($B147-Ship_BorStar)&lt;=0.0025,MAX(Ship_Duty_L,0),NA())</f>
        <v>#N/A</v>
      </c>
      <c r="L147" s="39">
        <f>IF(MOD(50,20)=0,TEXT($B147,"0.0"),"")</f>
        <v/>
      </c>
    </row>
    <row r="148" spans="2:12" ht="17" customHeight="1">
      <c r="B148" s="49">
        <v>0.355</v>
      </c>
      <c r="C148" s="39">
        <f>Ship_CargoL*$B148/100</f>
        <v>10053.6</v>
      </c>
      <c r="D148" s="39">
        <f>Ship_HCap</f>
        <v>13325</v>
      </c>
      <c r="E148" s="39">
        <f>MAX(0,C148-Ship_HCap)</f>
        <v>0</v>
      </c>
      <c r="F148" s="39">
        <f>Ship_Duty_L-MIN(C148,Ship_HCap)*Ship_LHV_H2/Ship_LHV_VLSFO/1000</f>
        <v>9.57482926829269</v>
      </c>
      <c r="G148" s="39" t="e">
        <f>IF(E148&gt;0,Ship_Duty_L-C148*Ship_LHV_H2/Ship_LHV_VLSFO/1000,NA())</f>
        <v>#N/A</v>
      </c>
      <c r="H148" s="39" t="e">
        <f>IF(ABS($B148-Ship_BorStar)&lt;=0.0025,Ship_HCap,NA())</f>
        <v>#N/A</v>
      </c>
      <c r="I148" s="39" t="e">
        <f>IF(ABS($B148-Ship_BOR_L)&lt;=0.0025,Ship_BOG,NA())</f>
        <v>#N/A</v>
      </c>
      <c r="J148" s="39" t="e">
        <f>IF(ABS($B148-Ship_BOR_L)&lt;=0.0025,Ship_Vlsfo,NA())</f>
        <v>#N/A</v>
      </c>
      <c r="K148" s="39" t="e">
        <f>IF(ABS($B148-Ship_BorStar)&lt;=0.0025,MAX(Ship_Duty_L,0),NA())</f>
        <v>#N/A</v>
      </c>
      <c r="L148" s="39">
        <f>IF(MOD(51,20)=0,TEXT($B148,"0.0"),"")</f>
        <v/>
      </c>
    </row>
    <row r="149" spans="2:12" ht="17" customHeight="1">
      <c r="B149" s="49">
        <v>0.36</v>
      </c>
      <c r="C149" s="39">
        <f>Ship_CargoL*$B149/100</f>
        <v>10195.2</v>
      </c>
      <c r="D149" s="39">
        <f>Ship_HCap</f>
        <v>13325</v>
      </c>
      <c r="E149" s="39">
        <f>MAX(0,C149-Ship_HCap)</f>
        <v>0</v>
      </c>
      <c r="F149" s="39">
        <f>Ship_Duty_L-MIN(C149,Ship_HCap)*Ship_LHV_H2/Ship_LHV_VLSFO/1000</f>
        <v>9.16039024390244</v>
      </c>
      <c r="G149" s="39" t="e">
        <f>IF(E149&gt;0,Ship_Duty_L-C149*Ship_LHV_H2/Ship_LHV_VLSFO/1000,NA())</f>
        <v>#N/A</v>
      </c>
      <c r="H149" s="39" t="e">
        <f>IF(ABS($B149-Ship_BorStar)&lt;=0.0025,Ship_HCap,NA())</f>
        <v>#N/A</v>
      </c>
      <c r="I149" s="39" t="e">
        <f>IF(ABS($B149-Ship_BOR_L)&lt;=0.0025,Ship_BOG,NA())</f>
        <v>#N/A</v>
      </c>
      <c r="J149" s="39" t="e">
        <f>IF(ABS($B149-Ship_BOR_L)&lt;=0.0025,Ship_Vlsfo,NA())</f>
        <v>#N/A</v>
      </c>
      <c r="K149" s="39" t="e">
        <f>IF(ABS($B149-Ship_BorStar)&lt;=0.0025,MAX(Ship_Duty_L,0),NA())</f>
        <v>#N/A</v>
      </c>
      <c r="L149" s="39">
        <f>IF(MOD(52,20)=0,TEXT($B149,"0.0"),"")</f>
        <v/>
      </c>
    </row>
    <row r="150" spans="2:12" ht="17" customHeight="1">
      <c r="B150" s="49">
        <v>0.365</v>
      </c>
      <c r="C150" s="39">
        <f>Ship_CargoL*$B150/100</f>
        <v>10336.8</v>
      </c>
      <c r="D150" s="39">
        <f>Ship_HCap</f>
        <v>13325</v>
      </c>
      <c r="E150" s="39">
        <f>MAX(0,C150-Ship_HCap)</f>
        <v>0</v>
      </c>
      <c r="F150" s="39">
        <f>Ship_Duty_L-MIN(C150,Ship_HCap)*Ship_LHV_H2/Ship_LHV_VLSFO/1000</f>
        <v>8.74595121951219</v>
      </c>
      <c r="G150" s="39" t="e">
        <f>IF(E150&gt;0,Ship_Duty_L-C150*Ship_LHV_H2/Ship_LHV_VLSFO/1000,NA())</f>
        <v>#N/A</v>
      </c>
      <c r="H150" s="39" t="e">
        <f>IF(ABS($B150-Ship_BorStar)&lt;=0.0025,Ship_HCap,NA())</f>
        <v>#N/A</v>
      </c>
      <c r="I150" s="39" t="e">
        <f>IF(ABS($B150-Ship_BOR_L)&lt;=0.0025,Ship_BOG,NA())</f>
        <v>#N/A</v>
      </c>
      <c r="J150" s="39" t="e">
        <f>IF(ABS($B150-Ship_BOR_L)&lt;=0.0025,Ship_Vlsfo,NA())</f>
        <v>#N/A</v>
      </c>
      <c r="K150" s="39" t="e">
        <f>IF(ABS($B150-Ship_BorStar)&lt;=0.0025,MAX(Ship_Duty_L,0),NA())</f>
        <v>#N/A</v>
      </c>
      <c r="L150" s="39">
        <f>IF(MOD(53,20)=0,TEXT($B150,"0.0"),"")</f>
        <v/>
      </c>
    </row>
    <row r="151" spans="2:12" ht="17" customHeight="1">
      <c r="B151" s="49">
        <v>0.37</v>
      </c>
      <c r="C151" s="39">
        <f>Ship_CargoL*$B151/100</f>
        <v>10478.4</v>
      </c>
      <c r="D151" s="39">
        <f>Ship_HCap</f>
        <v>13325</v>
      </c>
      <c r="E151" s="39">
        <f>MAX(0,C151-Ship_HCap)</f>
        <v>0</v>
      </c>
      <c r="F151" s="39">
        <f>Ship_Duty_L-MIN(C151,Ship_HCap)*Ship_LHV_H2/Ship_LHV_VLSFO/1000</f>
        <v>8.33151219512195</v>
      </c>
      <c r="G151" s="39" t="e">
        <f>IF(E151&gt;0,Ship_Duty_L-C151*Ship_LHV_H2/Ship_LHV_VLSFO/1000,NA())</f>
        <v>#N/A</v>
      </c>
      <c r="H151" s="39" t="e">
        <f>IF(ABS($B151-Ship_BorStar)&lt;=0.0025,Ship_HCap,NA())</f>
        <v>#N/A</v>
      </c>
      <c r="I151" s="39" t="e">
        <f>IF(ABS($B151-Ship_BOR_L)&lt;=0.0025,Ship_BOG,NA())</f>
        <v>#N/A</v>
      </c>
      <c r="J151" s="39" t="e">
        <f>IF(ABS($B151-Ship_BOR_L)&lt;=0.0025,Ship_Vlsfo,NA())</f>
        <v>#N/A</v>
      </c>
      <c r="K151" s="39" t="e">
        <f>IF(ABS($B151-Ship_BorStar)&lt;=0.0025,MAX(Ship_Duty_L,0),NA())</f>
        <v>#N/A</v>
      </c>
      <c r="L151" s="39">
        <f>IF(MOD(54,20)=0,TEXT($B151,"0.0"),"")</f>
        <v/>
      </c>
    </row>
    <row r="152" spans="2:12" ht="17" customHeight="1">
      <c r="B152" s="49">
        <v>0.375</v>
      </c>
      <c r="C152" s="39">
        <f>Ship_CargoL*$B152/100</f>
        <v>10620</v>
      </c>
      <c r="D152" s="39">
        <f>Ship_HCap</f>
        <v>13325</v>
      </c>
      <c r="E152" s="39">
        <f>MAX(0,C152-Ship_HCap)</f>
        <v>0</v>
      </c>
      <c r="F152" s="39">
        <f>Ship_Duty_L-MIN(C152,Ship_HCap)*Ship_LHV_H2/Ship_LHV_VLSFO/1000</f>
        <v>7.91707317073171</v>
      </c>
      <c r="G152" s="39" t="e">
        <f>IF(E152&gt;0,Ship_Duty_L-C152*Ship_LHV_H2/Ship_LHV_VLSFO/1000,NA())</f>
        <v>#N/A</v>
      </c>
      <c r="H152" s="39" t="e">
        <f>IF(ABS($B152-Ship_BorStar)&lt;=0.0025,Ship_HCap,NA())</f>
        <v>#N/A</v>
      </c>
      <c r="I152" s="39" t="e">
        <f>IF(ABS($B152-Ship_BOR_L)&lt;=0.0025,Ship_BOG,NA())</f>
        <v>#N/A</v>
      </c>
      <c r="J152" s="39" t="e">
        <f>IF(ABS($B152-Ship_BOR_L)&lt;=0.0025,Ship_Vlsfo,NA())</f>
        <v>#N/A</v>
      </c>
      <c r="K152" s="39" t="e">
        <f>IF(ABS($B152-Ship_BorStar)&lt;=0.0025,MAX(Ship_Duty_L,0),NA())</f>
        <v>#N/A</v>
      </c>
      <c r="L152" s="39">
        <f>IF(MOD(55,20)=0,TEXT($B152,"0.0"),"")</f>
        <v/>
      </c>
    </row>
    <row r="153" spans="2:12" ht="17" customHeight="1">
      <c r="B153" s="49">
        <v>0.38</v>
      </c>
      <c r="C153" s="39">
        <f>Ship_CargoL*$B153/100</f>
        <v>10761.6</v>
      </c>
      <c r="D153" s="39">
        <f>Ship_HCap</f>
        <v>13325</v>
      </c>
      <c r="E153" s="39">
        <f>MAX(0,C153-Ship_HCap)</f>
        <v>0</v>
      </c>
      <c r="F153" s="39">
        <f>Ship_Duty_L-MIN(C153,Ship_HCap)*Ship_LHV_H2/Ship_LHV_VLSFO/1000</f>
        <v>7.50263414634146</v>
      </c>
      <c r="G153" s="39" t="e">
        <f>IF(E153&gt;0,Ship_Duty_L-C153*Ship_LHV_H2/Ship_LHV_VLSFO/1000,NA())</f>
        <v>#N/A</v>
      </c>
      <c r="H153" s="39" t="e">
        <f>IF(ABS($B153-Ship_BorStar)&lt;=0.0025,Ship_HCap,NA())</f>
        <v>#N/A</v>
      </c>
      <c r="I153" s="39" t="e">
        <f>IF(ABS($B153-Ship_BOR_L)&lt;=0.0025,Ship_BOG,NA())</f>
        <v>#N/A</v>
      </c>
      <c r="J153" s="39" t="e">
        <f>IF(ABS($B153-Ship_BOR_L)&lt;=0.0025,Ship_Vlsfo,NA())</f>
        <v>#N/A</v>
      </c>
      <c r="K153" s="39" t="e">
        <f>IF(ABS($B153-Ship_BorStar)&lt;=0.0025,MAX(Ship_Duty_L,0),NA())</f>
        <v>#N/A</v>
      </c>
      <c r="L153" s="39">
        <f>IF(MOD(56,20)=0,TEXT($B153,"0.0"),"")</f>
        <v/>
      </c>
    </row>
    <row r="154" spans="2:12" ht="17" customHeight="1">
      <c r="B154" s="49">
        <v>0.385</v>
      </c>
      <c r="C154" s="39">
        <f>Ship_CargoL*$B154/100</f>
        <v>10903.2</v>
      </c>
      <c r="D154" s="39">
        <f>Ship_HCap</f>
        <v>13325</v>
      </c>
      <c r="E154" s="39">
        <f>MAX(0,C154-Ship_HCap)</f>
        <v>0</v>
      </c>
      <c r="F154" s="39">
        <f>Ship_Duty_L-MIN(C154,Ship_HCap)*Ship_LHV_H2/Ship_LHV_VLSFO/1000</f>
        <v>7.08819512195122</v>
      </c>
      <c r="G154" s="39" t="e">
        <f>IF(E154&gt;0,Ship_Duty_L-C154*Ship_LHV_H2/Ship_LHV_VLSFO/1000,NA())</f>
        <v>#N/A</v>
      </c>
      <c r="H154" s="39" t="e">
        <f>IF(ABS($B154-Ship_BorStar)&lt;=0.0025,Ship_HCap,NA())</f>
        <v>#N/A</v>
      </c>
      <c r="I154" s="39" t="e">
        <f>IF(ABS($B154-Ship_BOR_L)&lt;=0.0025,Ship_BOG,NA())</f>
        <v>#N/A</v>
      </c>
      <c r="J154" s="39" t="e">
        <f>IF(ABS($B154-Ship_BOR_L)&lt;=0.0025,Ship_Vlsfo,NA())</f>
        <v>#N/A</v>
      </c>
      <c r="K154" s="39" t="e">
        <f>IF(ABS($B154-Ship_BorStar)&lt;=0.0025,MAX(Ship_Duty_L,0),NA())</f>
        <v>#N/A</v>
      </c>
      <c r="L154" s="39">
        <f>IF(MOD(57,20)=0,TEXT($B154,"0.0"),"")</f>
        <v/>
      </c>
    </row>
    <row r="155" spans="2:12" ht="17" customHeight="1">
      <c r="B155" s="49">
        <v>0.39</v>
      </c>
      <c r="C155" s="39">
        <f>Ship_CargoL*$B155/100</f>
        <v>11044.8</v>
      </c>
      <c r="D155" s="39">
        <f>Ship_HCap</f>
        <v>13325</v>
      </c>
      <c r="E155" s="39">
        <f>MAX(0,C155-Ship_HCap)</f>
        <v>0</v>
      </c>
      <c r="F155" s="39">
        <f>Ship_Duty_L-MIN(C155,Ship_HCap)*Ship_LHV_H2/Ship_LHV_VLSFO/1000</f>
        <v>6.67375609756098</v>
      </c>
      <c r="G155" s="39" t="e">
        <f>IF(E155&gt;0,Ship_Duty_L-C155*Ship_LHV_H2/Ship_LHV_VLSFO/1000,NA())</f>
        <v>#N/A</v>
      </c>
      <c r="H155" s="39" t="e">
        <f>IF(ABS($B155-Ship_BorStar)&lt;=0.0025,Ship_HCap,NA())</f>
        <v>#N/A</v>
      </c>
      <c r="I155" s="39" t="e">
        <f>IF(ABS($B155-Ship_BOR_L)&lt;=0.0025,Ship_BOG,NA())</f>
        <v>#N/A</v>
      </c>
      <c r="J155" s="39" t="e">
        <f>IF(ABS($B155-Ship_BOR_L)&lt;=0.0025,Ship_Vlsfo,NA())</f>
        <v>#N/A</v>
      </c>
      <c r="K155" s="39" t="e">
        <f>IF(ABS($B155-Ship_BorStar)&lt;=0.0025,MAX(Ship_Duty_L,0),NA())</f>
        <v>#N/A</v>
      </c>
      <c r="L155" s="39">
        <f>IF(MOD(58,20)=0,TEXT($B155,"0.0"),"")</f>
        <v/>
      </c>
    </row>
    <row r="156" spans="2:12" ht="17" customHeight="1">
      <c r="B156" s="49">
        <v>0.395</v>
      </c>
      <c r="C156" s="39">
        <f>Ship_CargoL*$B156/100</f>
        <v>11186.4</v>
      </c>
      <c r="D156" s="39">
        <f>Ship_HCap</f>
        <v>13325</v>
      </c>
      <c r="E156" s="39">
        <f>MAX(0,C156-Ship_HCap)</f>
        <v>0</v>
      </c>
      <c r="F156" s="39">
        <f>Ship_Duty_L-MIN(C156,Ship_HCap)*Ship_LHV_H2/Ship_LHV_VLSFO/1000</f>
        <v>6.25931707317074</v>
      </c>
      <c r="G156" s="39" t="e">
        <f>IF(E156&gt;0,Ship_Duty_L-C156*Ship_LHV_H2/Ship_LHV_VLSFO/1000,NA())</f>
        <v>#N/A</v>
      </c>
      <c r="H156" s="39" t="e">
        <f>IF(ABS($B156-Ship_BorStar)&lt;=0.0025,Ship_HCap,NA())</f>
        <v>#N/A</v>
      </c>
      <c r="I156" s="39" t="e">
        <f>IF(ABS($B156-Ship_BOR_L)&lt;=0.0025,Ship_BOG,NA())</f>
        <v>#N/A</v>
      </c>
      <c r="J156" s="39" t="e">
        <f>IF(ABS($B156-Ship_BOR_L)&lt;=0.0025,Ship_Vlsfo,NA())</f>
        <v>#N/A</v>
      </c>
      <c r="K156" s="39" t="e">
        <f>IF(ABS($B156-Ship_BorStar)&lt;=0.0025,MAX(Ship_Duty_L,0),NA())</f>
        <v>#N/A</v>
      </c>
      <c r="L156" s="39">
        <f>IF(MOD(59,20)=0,TEXT($B156,"0.0"),"")</f>
        <v/>
      </c>
    </row>
    <row r="157" spans="2:12" ht="17" customHeight="1">
      <c r="B157" s="49">
        <v>0.4</v>
      </c>
      <c r="C157" s="39">
        <f>Ship_CargoL*$B157/100</f>
        <v>11328</v>
      </c>
      <c r="D157" s="39">
        <f>Ship_HCap</f>
        <v>13325</v>
      </c>
      <c r="E157" s="39">
        <f>MAX(0,C157-Ship_HCap)</f>
        <v>0</v>
      </c>
      <c r="F157" s="39">
        <f>Ship_Duty_L-MIN(C157,Ship_HCap)*Ship_LHV_H2/Ship_LHV_VLSFO/1000</f>
        <v>5.84487804878049</v>
      </c>
      <c r="G157" s="39" t="e">
        <f>IF(E157&gt;0,Ship_Duty_L-C157*Ship_LHV_H2/Ship_LHV_VLSFO/1000,NA())</f>
        <v>#N/A</v>
      </c>
      <c r="H157" s="39" t="e">
        <f>IF(ABS($B157-Ship_BorStar)&lt;=0.0025,Ship_HCap,NA())</f>
        <v>#N/A</v>
      </c>
      <c r="I157" s="39">
        <f>IF(ABS($B157-Ship_BOR_L)&lt;=0.0025,Ship_BOG,NA())</f>
        <v>11328</v>
      </c>
      <c r="J157" s="39">
        <f>IF(ABS($B157-Ship_BOR_L)&lt;=0.0025,Ship_Vlsfo,NA())</f>
        <v>5.84487804878049</v>
      </c>
      <c r="K157" s="39" t="e">
        <f>IF(ABS($B157-Ship_BorStar)&lt;=0.0025,MAX(Ship_Duty_L,0),NA())</f>
        <v>#N/A</v>
      </c>
      <c r="L157" s="39" t="str">
        <f>IF(MOD(60,20)=0,TEXT($B157,"0.0"),"")</f>
        <v>0.4</v>
      </c>
    </row>
    <row r="158" spans="2:12" ht="17" customHeight="1">
      <c r="B158" s="49">
        <v>0.405</v>
      </c>
      <c r="C158" s="39">
        <f>Ship_CargoL*$B158/100</f>
        <v>11469.6</v>
      </c>
      <c r="D158" s="39">
        <f>Ship_HCap</f>
        <v>13325</v>
      </c>
      <c r="E158" s="39">
        <f>MAX(0,C158-Ship_HCap)</f>
        <v>0</v>
      </c>
      <c r="F158" s="39">
        <f>Ship_Duty_L-MIN(C158,Ship_HCap)*Ship_LHV_H2/Ship_LHV_VLSFO/1000</f>
        <v>5.43043902439025</v>
      </c>
      <c r="G158" s="39" t="e">
        <f>IF(E158&gt;0,Ship_Duty_L-C158*Ship_LHV_H2/Ship_LHV_VLSFO/1000,NA())</f>
        <v>#N/A</v>
      </c>
      <c r="H158" s="39" t="e">
        <f>IF(ABS($B158-Ship_BorStar)&lt;=0.0025,Ship_HCap,NA())</f>
        <v>#N/A</v>
      </c>
      <c r="I158" s="39" t="e">
        <f>IF(ABS($B158-Ship_BOR_L)&lt;=0.0025,Ship_BOG,NA())</f>
        <v>#N/A</v>
      </c>
      <c r="J158" s="39" t="e">
        <f>IF(ABS($B158-Ship_BOR_L)&lt;=0.0025,Ship_Vlsfo,NA())</f>
        <v>#N/A</v>
      </c>
      <c r="K158" s="39" t="e">
        <f>IF(ABS($B158-Ship_BorStar)&lt;=0.0025,MAX(Ship_Duty_L,0),NA())</f>
        <v>#N/A</v>
      </c>
      <c r="L158" s="39">
        <f>IF(MOD(61,20)=0,TEXT($B158,"0.0"),"")</f>
        <v/>
      </c>
    </row>
    <row r="159" spans="2:12" ht="17" customHeight="1">
      <c r="B159" s="49">
        <v>0.41</v>
      </c>
      <c r="C159" s="39">
        <f>Ship_CargoL*$B159/100</f>
        <v>11611.2</v>
      </c>
      <c r="D159" s="39">
        <f>Ship_HCap</f>
        <v>13325</v>
      </c>
      <c r="E159" s="39">
        <f>MAX(0,C159-Ship_HCap)</f>
        <v>0</v>
      </c>
      <c r="F159" s="39">
        <f>Ship_Duty_L-MIN(C159,Ship_HCap)*Ship_LHV_H2/Ship_LHV_VLSFO/1000</f>
        <v>5.016</v>
      </c>
      <c r="G159" s="39" t="e">
        <f>IF(E159&gt;0,Ship_Duty_L-C159*Ship_LHV_H2/Ship_LHV_VLSFO/1000,NA())</f>
        <v>#N/A</v>
      </c>
      <c r="H159" s="39" t="e">
        <f>IF(ABS($B159-Ship_BorStar)&lt;=0.0025,Ship_HCap,NA())</f>
        <v>#N/A</v>
      </c>
      <c r="I159" s="39" t="e">
        <f>IF(ABS($B159-Ship_BOR_L)&lt;=0.0025,Ship_BOG,NA())</f>
        <v>#N/A</v>
      </c>
      <c r="J159" s="39" t="e">
        <f>IF(ABS($B159-Ship_BOR_L)&lt;=0.0025,Ship_Vlsfo,NA())</f>
        <v>#N/A</v>
      </c>
      <c r="K159" s="39" t="e">
        <f>IF(ABS($B159-Ship_BorStar)&lt;=0.0025,MAX(Ship_Duty_L,0),NA())</f>
        <v>#N/A</v>
      </c>
      <c r="L159" s="39">
        <f>IF(MOD(62,20)=0,TEXT($B159,"0.0"),"")</f>
        <v/>
      </c>
    </row>
    <row r="160" spans="2:12" ht="17" customHeight="1">
      <c r="B160" s="49">
        <v>0.415</v>
      </c>
      <c r="C160" s="39">
        <f>Ship_CargoL*$B160/100</f>
        <v>11752.8</v>
      </c>
      <c r="D160" s="39">
        <f>Ship_HCap</f>
        <v>13325</v>
      </c>
      <c r="E160" s="39">
        <f>MAX(0,C160-Ship_HCap)</f>
        <v>0</v>
      </c>
      <c r="F160" s="39">
        <f>Ship_Duty_L-MIN(C160,Ship_HCap)*Ship_LHV_H2/Ship_LHV_VLSFO/1000</f>
        <v>4.60156097560976</v>
      </c>
      <c r="G160" s="39" t="e">
        <f>IF(E160&gt;0,Ship_Duty_L-C160*Ship_LHV_H2/Ship_LHV_VLSFO/1000,NA())</f>
        <v>#N/A</v>
      </c>
      <c r="H160" s="39" t="e">
        <f>IF(ABS($B160-Ship_BorStar)&lt;=0.0025,Ship_HCap,NA())</f>
        <v>#N/A</v>
      </c>
      <c r="I160" s="39" t="e">
        <f>IF(ABS($B160-Ship_BOR_L)&lt;=0.0025,Ship_BOG,NA())</f>
        <v>#N/A</v>
      </c>
      <c r="J160" s="39" t="e">
        <f>IF(ABS($B160-Ship_BOR_L)&lt;=0.0025,Ship_Vlsfo,NA())</f>
        <v>#N/A</v>
      </c>
      <c r="K160" s="39" t="e">
        <f>IF(ABS($B160-Ship_BorStar)&lt;=0.0025,MAX(Ship_Duty_L,0),NA())</f>
        <v>#N/A</v>
      </c>
      <c r="L160" s="39">
        <f>IF(MOD(63,20)=0,TEXT($B160,"0.0"),"")</f>
        <v/>
      </c>
    </row>
    <row r="161" spans="2:12" ht="17" customHeight="1">
      <c r="B161" s="49">
        <v>0.42</v>
      </c>
      <c r="C161" s="39">
        <f>Ship_CargoL*$B161/100</f>
        <v>11894.4</v>
      </c>
      <c r="D161" s="39">
        <f>Ship_HCap</f>
        <v>13325</v>
      </c>
      <c r="E161" s="39">
        <f>MAX(0,C161-Ship_HCap)</f>
        <v>0</v>
      </c>
      <c r="F161" s="39">
        <f>Ship_Duty_L-MIN(C161,Ship_HCap)*Ship_LHV_H2/Ship_LHV_VLSFO/1000</f>
        <v>4.18712195121951</v>
      </c>
      <c r="G161" s="39" t="e">
        <f>IF(E161&gt;0,Ship_Duty_L-C161*Ship_LHV_H2/Ship_LHV_VLSFO/1000,NA())</f>
        <v>#N/A</v>
      </c>
      <c r="H161" s="39" t="e">
        <f>IF(ABS($B161-Ship_BorStar)&lt;=0.0025,Ship_HCap,NA())</f>
        <v>#N/A</v>
      </c>
      <c r="I161" s="39" t="e">
        <f>IF(ABS($B161-Ship_BOR_L)&lt;=0.0025,Ship_BOG,NA())</f>
        <v>#N/A</v>
      </c>
      <c r="J161" s="39" t="e">
        <f>IF(ABS($B161-Ship_BOR_L)&lt;=0.0025,Ship_Vlsfo,NA())</f>
        <v>#N/A</v>
      </c>
      <c r="K161" s="39" t="e">
        <f>IF(ABS($B161-Ship_BorStar)&lt;=0.0025,MAX(Ship_Duty_L,0),NA())</f>
        <v>#N/A</v>
      </c>
      <c r="L161" s="39">
        <f>IF(MOD(64,20)=0,TEXT($B161,"0.0"),"")</f>
        <v/>
      </c>
    </row>
    <row r="162" spans="2:12" ht="17" customHeight="1">
      <c r="B162" s="49">
        <v>0.425</v>
      </c>
      <c r="C162" s="39">
        <f>Ship_CargoL*$B162/100</f>
        <v>12036</v>
      </c>
      <c r="D162" s="39">
        <f>Ship_HCap</f>
        <v>13325</v>
      </c>
      <c r="E162" s="39">
        <f>MAX(0,C162-Ship_HCap)</f>
        <v>0</v>
      </c>
      <c r="F162" s="39">
        <f>Ship_Duty_L-MIN(C162,Ship_HCap)*Ship_LHV_H2/Ship_LHV_VLSFO/1000</f>
        <v>3.77268292682927</v>
      </c>
      <c r="G162" s="39" t="e">
        <f>IF(E162&gt;0,Ship_Duty_L-C162*Ship_LHV_H2/Ship_LHV_VLSFO/1000,NA())</f>
        <v>#N/A</v>
      </c>
      <c r="H162" s="39" t="e">
        <f>IF(ABS($B162-Ship_BorStar)&lt;=0.0025,Ship_HCap,NA())</f>
        <v>#N/A</v>
      </c>
      <c r="I162" s="39" t="e">
        <f>IF(ABS($B162-Ship_BOR_L)&lt;=0.0025,Ship_BOG,NA())</f>
        <v>#N/A</v>
      </c>
      <c r="J162" s="39" t="e">
        <f>IF(ABS($B162-Ship_BOR_L)&lt;=0.0025,Ship_Vlsfo,NA())</f>
        <v>#N/A</v>
      </c>
      <c r="K162" s="39" t="e">
        <f>IF(ABS($B162-Ship_BorStar)&lt;=0.0025,MAX(Ship_Duty_L,0),NA())</f>
        <v>#N/A</v>
      </c>
      <c r="L162" s="39">
        <f>IF(MOD(65,20)=0,TEXT($B162,"0.0"),"")</f>
        <v/>
      </c>
    </row>
    <row r="163" spans="2:12" ht="17" customHeight="1">
      <c r="B163" s="49">
        <v>0.43</v>
      </c>
      <c r="C163" s="39">
        <f>Ship_CargoL*$B163/100</f>
        <v>12177.6</v>
      </c>
      <c r="D163" s="39">
        <f>Ship_HCap</f>
        <v>13325</v>
      </c>
      <c r="E163" s="39">
        <f>MAX(0,C163-Ship_HCap)</f>
        <v>0</v>
      </c>
      <c r="F163" s="39">
        <f>Ship_Duty_L-MIN(C163,Ship_HCap)*Ship_LHV_H2/Ship_LHV_VLSFO/1000</f>
        <v>3.35824390243903</v>
      </c>
      <c r="G163" s="39" t="e">
        <f>IF(E163&gt;0,Ship_Duty_L-C163*Ship_LHV_H2/Ship_LHV_VLSFO/1000,NA())</f>
        <v>#N/A</v>
      </c>
      <c r="H163" s="39" t="e">
        <f>IF(ABS($B163-Ship_BorStar)&lt;=0.0025,Ship_HCap,NA())</f>
        <v>#N/A</v>
      </c>
      <c r="I163" s="39" t="e">
        <f>IF(ABS($B163-Ship_BOR_L)&lt;=0.0025,Ship_BOG,NA())</f>
        <v>#N/A</v>
      </c>
      <c r="J163" s="39" t="e">
        <f>IF(ABS($B163-Ship_BOR_L)&lt;=0.0025,Ship_Vlsfo,NA())</f>
        <v>#N/A</v>
      </c>
      <c r="K163" s="39" t="e">
        <f>IF(ABS($B163-Ship_BorStar)&lt;=0.0025,MAX(Ship_Duty_L,0),NA())</f>
        <v>#N/A</v>
      </c>
      <c r="L163" s="39">
        <f>IF(MOD(66,20)=0,TEXT($B163,"0.0"),"")</f>
        <v/>
      </c>
    </row>
    <row r="164" spans="2:12" ht="17" customHeight="1">
      <c r="B164" s="49">
        <v>0.435</v>
      </c>
      <c r="C164" s="39">
        <f>Ship_CargoL*$B164/100</f>
        <v>12319.2</v>
      </c>
      <c r="D164" s="39">
        <f>Ship_HCap</f>
        <v>13325</v>
      </c>
      <c r="E164" s="39">
        <f>MAX(0,C164-Ship_HCap)</f>
        <v>0</v>
      </c>
      <c r="F164" s="39">
        <f>Ship_Duty_L-MIN(C164,Ship_HCap)*Ship_LHV_H2/Ship_LHV_VLSFO/1000</f>
        <v>2.94380487804878</v>
      </c>
      <c r="G164" s="39" t="e">
        <f>IF(E164&gt;0,Ship_Duty_L-C164*Ship_LHV_H2/Ship_LHV_VLSFO/1000,NA())</f>
        <v>#N/A</v>
      </c>
      <c r="H164" s="39" t="e">
        <f>IF(ABS($B164-Ship_BorStar)&lt;=0.0025,Ship_HCap,NA())</f>
        <v>#N/A</v>
      </c>
      <c r="I164" s="39" t="e">
        <f>IF(ABS($B164-Ship_BOR_L)&lt;=0.0025,Ship_BOG,NA())</f>
        <v>#N/A</v>
      </c>
      <c r="J164" s="39" t="e">
        <f>IF(ABS($B164-Ship_BOR_L)&lt;=0.0025,Ship_Vlsfo,NA())</f>
        <v>#N/A</v>
      </c>
      <c r="K164" s="39" t="e">
        <f>IF(ABS($B164-Ship_BorStar)&lt;=0.0025,MAX(Ship_Duty_L,0),NA())</f>
        <v>#N/A</v>
      </c>
      <c r="L164" s="39">
        <f>IF(MOD(67,20)=0,TEXT($B164,"0.0"),"")</f>
        <v/>
      </c>
    </row>
    <row r="165" spans="2:12" ht="17" customHeight="1">
      <c r="B165" s="49">
        <v>0.44</v>
      </c>
      <c r="C165" s="39">
        <f>Ship_CargoL*$B165/100</f>
        <v>12460.8</v>
      </c>
      <c r="D165" s="39">
        <f>Ship_HCap</f>
        <v>13325</v>
      </c>
      <c r="E165" s="39">
        <f>MAX(0,C165-Ship_HCap)</f>
        <v>0</v>
      </c>
      <c r="F165" s="39">
        <f>Ship_Duty_L-MIN(C165,Ship_HCap)*Ship_LHV_H2/Ship_LHV_VLSFO/1000</f>
        <v>2.52936585365853</v>
      </c>
      <c r="G165" s="39" t="e">
        <f>IF(E165&gt;0,Ship_Duty_L-C165*Ship_LHV_H2/Ship_LHV_VLSFO/1000,NA())</f>
        <v>#N/A</v>
      </c>
      <c r="H165" s="39" t="e">
        <f>IF(ABS($B165-Ship_BorStar)&lt;=0.0025,Ship_HCap,NA())</f>
        <v>#N/A</v>
      </c>
      <c r="I165" s="39" t="e">
        <f>IF(ABS($B165-Ship_BOR_L)&lt;=0.0025,Ship_BOG,NA())</f>
        <v>#N/A</v>
      </c>
      <c r="J165" s="39" t="e">
        <f>IF(ABS($B165-Ship_BOR_L)&lt;=0.0025,Ship_Vlsfo,NA())</f>
        <v>#N/A</v>
      </c>
      <c r="K165" s="39" t="e">
        <f>IF(ABS($B165-Ship_BorStar)&lt;=0.0025,MAX(Ship_Duty_L,0),NA())</f>
        <v>#N/A</v>
      </c>
      <c r="L165" s="39">
        <f>IF(MOD(68,20)=0,TEXT($B165,"0.0"),"")</f>
        <v/>
      </c>
    </row>
    <row r="166" spans="2:12" ht="17" customHeight="1">
      <c r="B166" s="49">
        <v>0.445</v>
      </c>
      <c r="C166" s="39">
        <f>Ship_CargoL*$B166/100</f>
        <v>12602.4</v>
      </c>
      <c r="D166" s="39">
        <f>Ship_HCap</f>
        <v>13325</v>
      </c>
      <c r="E166" s="39">
        <f>MAX(0,C166-Ship_HCap)</f>
        <v>0</v>
      </c>
      <c r="F166" s="39">
        <f>Ship_Duty_L-MIN(C166,Ship_HCap)*Ship_LHV_H2/Ship_LHV_VLSFO/1000</f>
        <v>2.11492682926829</v>
      </c>
      <c r="G166" s="39" t="e">
        <f>IF(E166&gt;0,Ship_Duty_L-C166*Ship_LHV_H2/Ship_LHV_VLSFO/1000,NA())</f>
        <v>#N/A</v>
      </c>
      <c r="H166" s="39" t="e">
        <f>IF(ABS($B166-Ship_BorStar)&lt;=0.0025,Ship_HCap,NA())</f>
        <v>#N/A</v>
      </c>
      <c r="I166" s="39" t="e">
        <f>IF(ABS($B166-Ship_BOR_L)&lt;=0.0025,Ship_BOG,NA())</f>
        <v>#N/A</v>
      </c>
      <c r="J166" s="39" t="e">
        <f>IF(ABS($B166-Ship_BOR_L)&lt;=0.0025,Ship_Vlsfo,NA())</f>
        <v>#N/A</v>
      </c>
      <c r="K166" s="39" t="e">
        <f>IF(ABS($B166-Ship_BorStar)&lt;=0.0025,MAX(Ship_Duty_L,0),NA())</f>
        <v>#N/A</v>
      </c>
      <c r="L166" s="39">
        <f>IF(MOD(69,20)=0,TEXT($B166,"0.0"),"")</f>
        <v/>
      </c>
    </row>
    <row r="167" spans="2:12" ht="17" customHeight="1">
      <c r="B167" s="49">
        <v>0.45</v>
      </c>
      <c r="C167" s="39">
        <f>Ship_CargoL*$B167/100</f>
        <v>12744</v>
      </c>
      <c r="D167" s="39">
        <f>Ship_HCap</f>
        <v>13325</v>
      </c>
      <c r="E167" s="39">
        <f>MAX(0,C167-Ship_HCap)</f>
        <v>0</v>
      </c>
      <c r="F167" s="39">
        <f>Ship_Duty_L-MIN(C167,Ship_HCap)*Ship_LHV_H2/Ship_LHV_VLSFO/1000</f>
        <v>1.70048780487805</v>
      </c>
      <c r="G167" s="39" t="e">
        <f>IF(E167&gt;0,Ship_Duty_L-C167*Ship_LHV_H2/Ship_LHV_VLSFO/1000,NA())</f>
        <v>#N/A</v>
      </c>
      <c r="H167" s="39" t="e">
        <f>IF(ABS($B167-Ship_BorStar)&lt;=0.0025,Ship_HCap,NA())</f>
        <v>#N/A</v>
      </c>
      <c r="I167" s="39" t="e">
        <f>IF(ABS($B167-Ship_BOR_L)&lt;=0.0025,Ship_BOG,NA())</f>
        <v>#N/A</v>
      </c>
      <c r="J167" s="39" t="e">
        <f>IF(ABS($B167-Ship_BOR_L)&lt;=0.0025,Ship_Vlsfo,NA())</f>
        <v>#N/A</v>
      </c>
      <c r="K167" s="39" t="e">
        <f>IF(ABS($B167-Ship_BorStar)&lt;=0.0025,MAX(Ship_Duty_L,0),NA())</f>
        <v>#N/A</v>
      </c>
      <c r="L167" s="39">
        <f>IF(MOD(70,20)=0,TEXT($B167,"0.0"),"")</f>
        <v/>
      </c>
    </row>
    <row r="168" spans="2:12" ht="17" customHeight="1">
      <c r="B168" s="49">
        <v>0.455</v>
      </c>
      <c r="C168" s="39">
        <f>Ship_CargoL*$B168/100</f>
        <v>12885.6</v>
      </c>
      <c r="D168" s="39">
        <f>Ship_HCap</f>
        <v>13325</v>
      </c>
      <c r="E168" s="39">
        <f>MAX(0,C168-Ship_HCap)</f>
        <v>0</v>
      </c>
      <c r="F168" s="39">
        <f>Ship_Duty_L-MIN(C168,Ship_HCap)*Ship_LHV_H2/Ship_LHV_VLSFO/1000</f>
        <v>1.2860487804878</v>
      </c>
      <c r="G168" s="39" t="e">
        <f>IF(E168&gt;0,Ship_Duty_L-C168*Ship_LHV_H2/Ship_LHV_VLSFO/1000,NA())</f>
        <v>#N/A</v>
      </c>
      <c r="H168" s="39" t="e">
        <f>IF(ABS($B168-Ship_BorStar)&lt;=0.0025,Ship_HCap,NA())</f>
        <v>#N/A</v>
      </c>
      <c r="I168" s="39" t="e">
        <f>IF(ABS($B168-Ship_BOR_L)&lt;=0.0025,Ship_BOG,NA())</f>
        <v>#N/A</v>
      </c>
      <c r="J168" s="39" t="e">
        <f>IF(ABS($B168-Ship_BOR_L)&lt;=0.0025,Ship_Vlsfo,NA())</f>
        <v>#N/A</v>
      </c>
      <c r="K168" s="39" t="e">
        <f>IF(ABS($B168-Ship_BorStar)&lt;=0.0025,MAX(Ship_Duty_L,0),NA())</f>
        <v>#N/A</v>
      </c>
      <c r="L168" s="39">
        <f>IF(MOD(71,20)=0,TEXT($B168,"0.0"),"")</f>
        <v/>
      </c>
    </row>
    <row r="169" spans="2:12" ht="17" customHeight="1">
      <c r="B169" s="49">
        <v>0.46</v>
      </c>
      <c r="C169" s="39">
        <f>Ship_CargoL*$B169/100</f>
        <v>13027.2</v>
      </c>
      <c r="D169" s="39">
        <f>Ship_HCap</f>
        <v>13325</v>
      </c>
      <c r="E169" s="39">
        <f>MAX(0,C169-Ship_HCap)</f>
        <v>0</v>
      </c>
      <c r="F169" s="39">
        <f>Ship_Duty_L-MIN(C169,Ship_HCap)*Ship_LHV_H2/Ship_LHV_VLSFO/1000</f>
        <v>0.871609756097563</v>
      </c>
      <c r="G169" s="39" t="e">
        <f>IF(E169&gt;0,Ship_Duty_L-C169*Ship_LHV_H2/Ship_LHV_VLSFO/1000,NA())</f>
        <v>#N/A</v>
      </c>
      <c r="H169" s="39" t="e">
        <f>IF(ABS($B169-Ship_BorStar)&lt;=0.0025,Ship_HCap,NA())</f>
        <v>#N/A</v>
      </c>
      <c r="I169" s="39" t="e">
        <f>IF(ABS($B169-Ship_BOR_L)&lt;=0.0025,Ship_BOG,NA())</f>
        <v>#N/A</v>
      </c>
      <c r="J169" s="39" t="e">
        <f>IF(ABS($B169-Ship_BOR_L)&lt;=0.0025,Ship_Vlsfo,NA())</f>
        <v>#N/A</v>
      </c>
      <c r="K169" s="39" t="e">
        <f>IF(ABS($B169-Ship_BorStar)&lt;=0.0025,MAX(Ship_Duty_L,0),NA())</f>
        <v>#N/A</v>
      </c>
      <c r="L169" s="39">
        <f>IF(MOD(72,20)=0,TEXT($B169,"0.0"),"")</f>
        <v/>
      </c>
    </row>
    <row r="170" spans="2:12" ht="17" customHeight="1">
      <c r="B170" s="49">
        <v>0.465</v>
      </c>
      <c r="C170" s="39">
        <f>Ship_CargoL*$B170/100</f>
        <v>13168.8</v>
      </c>
      <c r="D170" s="39">
        <f>Ship_HCap</f>
        <v>13325</v>
      </c>
      <c r="E170" s="39">
        <f>MAX(0,C170-Ship_HCap)</f>
        <v>0</v>
      </c>
      <c r="F170" s="39">
        <f>Ship_Duty_L-MIN(C170,Ship_HCap)*Ship_LHV_H2/Ship_LHV_VLSFO/1000</f>
        <v>0.457170731707315</v>
      </c>
      <c r="G170" s="39" t="e">
        <f>IF(E170&gt;0,Ship_Duty_L-C170*Ship_LHV_H2/Ship_LHV_VLSFO/1000,NA())</f>
        <v>#N/A</v>
      </c>
      <c r="H170" s="39" t="e">
        <f>IF(ABS($B170-Ship_BorStar)&lt;=0.0025,Ship_HCap,NA())</f>
        <v>#N/A</v>
      </c>
      <c r="I170" s="39" t="e">
        <f>IF(ABS($B170-Ship_BOR_L)&lt;=0.0025,Ship_BOG,NA())</f>
        <v>#N/A</v>
      </c>
      <c r="J170" s="39" t="e">
        <f>IF(ABS($B170-Ship_BOR_L)&lt;=0.0025,Ship_Vlsfo,NA())</f>
        <v>#N/A</v>
      </c>
      <c r="K170" s="39" t="e">
        <f>IF(ABS($B170-Ship_BorStar)&lt;=0.0025,MAX(Ship_Duty_L,0),NA())</f>
        <v>#N/A</v>
      </c>
      <c r="L170" s="39">
        <f>IF(MOD(73,20)=0,TEXT($B170,"0.0"),"")</f>
        <v/>
      </c>
    </row>
    <row r="171" spans="2:12" ht="17" customHeight="1">
      <c r="B171" s="49">
        <v>0.47</v>
      </c>
      <c r="C171" s="39">
        <f>Ship_CargoL*$B171/100</f>
        <v>13310.4</v>
      </c>
      <c r="D171" s="39">
        <f>Ship_HCap</f>
        <v>13325</v>
      </c>
      <c r="E171" s="39">
        <f>MAX(0,C171-Ship_HCap)</f>
        <v>0</v>
      </c>
      <c r="F171" s="39">
        <f>Ship_Duty_L-MIN(C171,Ship_HCap)*Ship_LHV_H2/Ship_LHV_VLSFO/1000</f>
        <v>0.0427317073170741</v>
      </c>
      <c r="G171" s="39" t="e">
        <f>IF(E171&gt;0,Ship_Duty_L-C171*Ship_LHV_H2/Ship_LHV_VLSFO/1000,NA())</f>
        <v>#N/A</v>
      </c>
      <c r="H171" s="39">
        <f>IF(ABS($B171-Ship_BorStar)&lt;=0.0025,Ship_HCap,NA())</f>
        <v>13325</v>
      </c>
      <c r="I171" s="39" t="e">
        <f>IF(ABS($B171-Ship_BOR_L)&lt;=0.0025,Ship_BOG,NA())</f>
        <v>#N/A</v>
      </c>
      <c r="J171" s="39" t="e">
        <f>IF(ABS($B171-Ship_BOR_L)&lt;=0.0025,Ship_Vlsfo,NA())</f>
        <v>#N/A</v>
      </c>
      <c r="K171" s="39">
        <f>IF(ABS($B171-Ship_BorStar)&lt;=0.0025,MAX(Ship_Duty_L,0),NA())</f>
        <v>39</v>
      </c>
      <c r="L171" s="39">
        <f>IF(MOD(74,20)=0,TEXT($B171,"0.0"),"")</f>
        <v/>
      </c>
    </row>
    <row r="172" spans="2:12" ht="17" customHeight="1">
      <c r="B172" s="49">
        <v>0.475</v>
      </c>
      <c r="C172" s="39">
        <f>Ship_CargoL*$B172/100</f>
        <v>13452</v>
      </c>
      <c r="D172" s="39">
        <f>Ship_HCap</f>
        <v>13325</v>
      </c>
      <c r="E172" s="39">
        <f>MAX(0,C172-Ship_HCap)</f>
        <v>127</v>
      </c>
      <c r="F172" s="39">
        <f>Ship_Duty_L-MIN(C172,Ship_HCap)*Ship_LHV_H2/Ship_LHV_VLSFO/1000</f>
        <v>0</v>
      </c>
      <c r="G172" s="39">
        <f>IF(E172&gt;0,Ship_Duty_L-C172*Ship_LHV_H2/Ship_LHV_VLSFO/1000,NA())</f>
        <v>-0.371707317073167</v>
      </c>
      <c r="H172" s="39" t="e">
        <f>IF(ABS($B172-Ship_BorStar)&lt;=0.0025,Ship_HCap,NA())</f>
        <v>#N/A</v>
      </c>
      <c r="I172" s="39" t="e">
        <f>IF(ABS($B172-Ship_BOR_L)&lt;=0.0025,Ship_BOG,NA())</f>
        <v>#N/A</v>
      </c>
      <c r="J172" s="39" t="e">
        <f>IF(ABS($B172-Ship_BOR_L)&lt;=0.0025,Ship_Vlsfo,NA())</f>
        <v>#N/A</v>
      </c>
      <c r="K172" s="39" t="e">
        <f>IF(ABS($B172-Ship_BorStar)&lt;=0.0025,MAX(Ship_Duty_L,0),NA())</f>
        <v>#N/A</v>
      </c>
      <c r="L172" s="39">
        <f>IF(MOD(75,20)=0,TEXT($B172,"0.0"),"")</f>
        <v/>
      </c>
    </row>
    <row r="173" spans="2:12" ht="17" customHeight="1">
      <c r="B173" s="49">
        <v>0.48</v>
      </c>
      <c r="C173" s="39">
        <f>Ship_CargoL*$B173/100</f>
        <v>13593.6</v>
      </c>
      <c r="D173" s="39">
        <f>Ship_HCap</f>
        <v>13325</v>
      </c>
      <c r="E173" s="39">
        <f>MAX(0,C173-Ship_HCap)</f>
        <v>268.6</v>
      </c>
      <c r="F173" s="39">
        <f>Ship_Duty_L-MIN(C173,Ship_HCap)*Ship_LHV_H2/Ship_LHV_VLSFO/1000</f>
        <v>0</v>
      </c>
      <c r="G173" s="39">
        <f>IF(E173&gt;0,Ship_Duty_L-C173*Ship_LHV_H2/Ship_LHV_VLSFO/1000,NA())</f>
        <v>-0.786146341463414</v>
      </c>
      <c r="H173" s="39" t="e">
        <f>IF(ABS($B173-Ship_BorStar)&lt;=0.0025,Ship_HCap,NA())</f>
        <v>#N/A</v>
      </c>
      <c r="I173" s="39" t="e">
        <f>IF(ABS($B173-Ship_BOR_L)&lt;=0.0025,Ship_BOG,NA())</f>
        <v>#N/A</v>
      </c>
      <c r="J173" s="39" t="e">
        <f>IF(ABS($B173-Ship_BOR_L)&lt;=0.0025,Ship_Vlsfo,NA())</f>
        <v>#N/A</v>
      </c>
      <c r="K173" s="39" t="e">
        <f>IF(ABS($B173-Ship_BorStar)&lt;=0.0025,MAX(Ship_Duty_L,0),NA())</f>
        <v>#N/A</v>
      </c>
      <c r="L173" s="39">
        <f>IF(MOD(76,20)=0,TEXT($B173,"0.0"),"")</f>
        <v/>
      </c>
    </row>
    <row r="174" spans="2:12" ht="17" customHeight="1">
      <c r="B174" s="49">
        <v>0.485</v>
      </c>
      <c r="C174" s="39">
        <f>Ship_CargoL*$B174/100</f>
        <v>13735.2</v>
      </c>
      <c r="D174" s="39">
        <f>Ship_HCap</f>
        <v>13325</v>
      </c>
      <c r="E174" s="39">
        <f>MAX(0,C174-Ship_HCap)</f>
        <v>410.200000000001</v>
      </c>
      <c r="F174" s="39">
        <f>Ship_Duty_L-MIN(C174,Ship_HCap)*Ship_LHV_H2/Ship_LHV_VLSFO/1000</f>
        <v>0</v>
      </c>
      <c r="G174" s="39">
        <f>IF(E174&gt;0,Ship_Duty_L-C174*Ship_LHV_H2/Ship_LHV_VLSFO/1000,NA())</f>
        <v>-1.20058536585366</v>
      </c>
      <c r="H174" s="39" t="e">
        <f>IF(ABS($B174-Ship_BorStar)&lt;=0.0025,Ship_HCap,NA())</f>
        <v>#N/A</v>
      </c>
      <c r="I174" s="39" t="e">
        <f>IF(ABS($B174-Ship_BOR_L)&lt;=0.0025,Ship_BOG,NA())</f>
        <v>#N/A</v>
      </c>
      <c r="J174" s="39" t="e">
        <f>IF(ABS($B174-Ship_BOR_L)&lt;=0.0025,Ship_Vlsfo,NA())</f>
        <v>#N/A</v>
      </c>
      <c r="K174" s="39" t="e">
        <f>IF(ABS($B174-Ship_BorStar)&lt;=0.0025,MAX(Ship_Duty_L,0),NA())</f>
        <v>#N/A</v>
      </c>
      <c r="L174" s="39">
        <f>IF(MOD(77,20)=0,TEXT($B174,"0.0"),"")</f>
        <v/>
      </c>
    </row>
    <row r="175" spans="2:12" ht="17" customHeight="1">
      <c r="B175" s="49">
        <v>0.49</v>
      </c>
      <c r="C175" s="39">
        <f>Ship_CargoL*$B175/100</f>
        <v>13876.8</v>
      </c>
      <c r="D175" s="39">
        <f>Ship_HCap</f>
        <v>13325</v>
      </c>
      <c r="E175" s="39">
        <f>MAX(0,C175-Ship_HCap)</f>
        <v>551.799999999999</v>
      </c>
      <c r="F175" s="39">
        <f>Ship_Duty_L-MIN(C175,Ship_HCap)*Ship_LHV_H2/Ship_LHV_VLSFO/1000</f>
        <v>0</v>
      </c>
      <c r="G175" s="39">
        <f>IF(E175&gt;0,Ship_Duty_L-C175*Ship_LHV_H2/Ship_LHV_VLSFO/1000,NA())</f>
        <v>-1.6150243902439</v>
      </c>
      <c r="H175" s="39" t="e">
        <f>IF(ABS($B175-Ship_BorStar)&lt;=0.0025,Ship_HCap,NA())</f>
        <v>#N/A</v>
      </c>
      <c r="I175" s="39" t="e">
        <f>IF(ABS($B175-Ship_BOR_L)&lt;=0.0025,Ship_BOG,NA())</f>
        <v>#N/A</v>
      </c>
      <c r="J175" s="39" t="e">
        <f>IF(ABS($B175-Ship_BOR_L)&lt;=0.0025,Ship_Vlsfo,NA())</f>
        <v>#N/A</v>
      </c>
      <c r="K175" s="39" t="e">
        <f>IF(ABS($B175-Ship_BorStar)&lt;=0.0025,MAX(Ship_Duty_L,0),NA())</f>
        <v>#N/A</v>
      </c>
      <c r="L175" s="39">
        <f>IF(MOD(78,20)=0,TEXT($B175,"0.0"),"")</f>
        <v/>
      </c>
    </row>
    <row r="176" spans="2:12" ht="17" customHeight="1">
      <c r="B176" s="49">
        <v>0.495</v>
      </c>
      <c r="C176" s="39">
        <f>Ship_CargoL*$B176/100</f>
        <v>14018.4</v>
      </c>
      <c r="D176" s="39">
        <f>Ship_HCap</f>
        <v>13325</v>
      </c>
      <c r="E176" s="39">
        <f>MAX(0,C176-Ship_HCap)</f>
        <v>693.4</v>
      </c>
      <c r="F176" s="39">
        <f>Ship_Duty_L-MIN(C176,Ship_HCap)*Ship_LHV_H2/Ship_LHV_VLSFO/1000</f>
        <v>0</v>
      </c>
      <c r="G176" s="39">
        <f>IF(E176&gt;0,Ship_Duty_L-C176*Ship_LHV_H2/Ship_LHV_VLSFO/1000,NA())</f>
        <v>-2.02946341463415</v>
      </c>
      <c r="H176" s="39" t="e">
        <f>IF(ABS($B176-Ship_BorStar)&lt;=0.0025,Ship_HCap,NA())</f>
        <v>#N/A</v>
      </c>
      <c r="I176" s="39" t="e">
        <f>IF(ABS($B176-Ship_BOR_L)&lt;=0.0025,Ship_BOG,NA())</f>
        <v>#N/A</v>
      </c>
      <c r="J176" s="39" t="e">
        <f>IF(ABS($B176-Ship_BOR_L)&lt;=0.0025,Ship_Vlsfo,NA())</f>
        <v>#N/A</v>
      </c>
      <c r="K176" s="39" t="e">
        <f>IF(ABS($B176-Ship_BorStar)&lt;=0.0025,MAX(Ship_Duty_L,0),NA())</f>
        <v>#N/A</v>
      </c>
      <c r="L176" s="39">
        <f>IF(MOD(79,20)=0,TEXT($B176,"0.0"),"")</f>
        <v/>
      </c>
    </row>
    <row r="177" spans="2:12" ht="17" customHeight="1">
      <c r="B177" s="49">
        <v>0.5</v>
      </c>
      <c r="C177" s="39">
        <f>Ship_CargoL*$B177/100</f>
        <v>14160</v>
      </c>
      <c r="D177" s="39">
        <f>Ship_HCap</f>
        <v>13325</v>
      </c>
      <c r="E177" s="39">
        <f>MAX(0,C177-Ship_HCap)</f>
        <v>835</v>
      </c>
      <c r="F177" s="39">
        <f>Ship_Duty_L-MIN(C177,Ship_HCap)*Ship_LHV_H2/Ship_LHV_VLSFO/1000</f>
        <v>0</v>
      </c>
      <c r="G177" s="39">
        <f>IF(E177&gt;0,Ship_Duty_L-C177*Ship_LHV_H2/Ship_LHV_VLSFO/1000,NA())</f>
        <v>-2.44390243902438</v>
      </c>
      <c r="H177" s="39" t="e">
        <f>IF(ABS($B177-Ship_BorStar)&lt;=0.0025,Ship_HCap,NA())</f>
        <v>#N/A</v>
      </c>
      <c r="I177" s="39" t="e">
        <f>IF(ABS($B177-Ship_BOR_L)&lt;=0.0025,Ship_BOG,NA())</f>
        <v>#N/A</v>
      </c>
      <c r="J177" s="39" t="e">
        <f>IF(ABS($B177-Ship_BOR_L)&lt;=0.0025,Ship_Vlsfo,NA())</f>
        <v>#N/A</v>
      </c>
      <c r="K177" s="39" t="e">
        <f>IF(ABS($B177-Ship_BorStar)&lt;=0.0025,MAX(Ship_Duty_L,0),NA())</f>
        <v>#N/A</v>
      </c>
      <c r="L177" s="39" t="str">
        <f>IF(MOD(80,20)=0,TEXT($B177,"0.0"),"")</f>
        <v>0.5</v>
      </c>
    </row>
    <row r="178" spans="2:12" ht="17" customHeight="1">
      <c r="B178" s="49">
        <v>0.505</v>
      </c>
      <c r="C178" s="39">
        <f>Ship_CargoL*$B178/100</f>
        <v>14301.6</v>
      </c>
      <c r="D178" s="39">
        <f>Ship_HCap</f>
        <v>13325</v>
      </c>
      <c r="E178" s="39">
        <f>MAX(0,C178-Ship_HCap)</f>
        <v>976.6</v>
      </c>
      <c r="F178" s="39">
        <f>Ship_Duty_L-MIN(C178,Ship_HCap)*Ship_LHV_H2/Ship_LHV_VLSFO/1000</f>
        <v>0</v>
      </c>
      <c r="G178" s="39">
        <f>IF(E178&gt;0,Ship_Duty_L-C178*Ship_LHV_H2/Ship_LHV_VLSFO/1000,NA())</f>
        <v>-2.85834146341463</v>
      </c>
      <c r="H178" s="39" t="e">
        <f>IF(ABS($B178-Ship_BorStar)&lt;=0.0025,Ship_HCap,NA())</f>
        <v>#N/A</v>
      </c>
      <c r="I178" s="39" t="e">
        <f>IF(ABS($B178-Ship_BOR_L)&lt;=0.0025,Ship_BOG,NA())</f>
        <v>#N/A</v>
      </c>
      <c r="J178" s="39" t="e">
        <f>IF(ABS($B178-Ship_BOR_L)&lt;=0.0025,Ship_Vlsfo,NA())</f>
        <v>#N/A</v>
      </c>
      <c r="K178" s="39" t="e">
        <f>IF(ABS($B178-Ship_BorStar)&lt;=0.0025,MAX(Ship_Duty_L,0),NA())</f>
        <v>#N/A</v>
      </c>
      <c r="L178" s="39">
        <f>IF(MOD(81,20)=0,TEXT($B178,"0.0"),"")</f>
        <v/>
      </c>
    </row>
    <row r="179" spans="2:12" ht="17" customHeight="1">
      <c r="B179" s="49">
        <v>0.51</v>
      </c>
      <c r="C179" s="39">
        <f>Ship_CargoL*$B179/100</f>
        <v>14443.2</v>
      </c>
      <c r="D179" s="39">
        <f>Ship_HCap</f>
        <v>13325</v>
      </c>
      <c r="E179" s="39">
        <f>MAX(0,C179-Ship_HCap)</f>
        <v>1118.2</v>
      </c>
      <c r="F179" s="39">
        <f>Ship_Duty_L-MIN(C179,Ship_HCap)*Ship_LHV_H2/Ship_LHV_VLSFO/1000</f>
        <v>0</v>
      </c>
      <c r="G179" s="39">
        <f>IF(E179&gt;0,Ship_Duty_L-C179*Ship_LHV_H2/Ship_LHV_VLSFO/1000,NA())</f>
        <v>-3.27278048780488</v>
      </c>
      <c r="H179" s="39" t="e">
        <f>IF(ABS($B179-Ship_BorStar)&lt;=0.0025,Ship_HCap,NA())</f>
        <v>#N/A</v>
      </c>
      <c r="I179" s="39" t="e">
        <f>IF(ABS($B179-Ship_BOR_L)&lt;=0.0025,Ship_BOG,NA())</f>
        <v>#N/A</v>
      </c>
      <c r="J179" s="39" t="e">
        <f>IF(ABS($B179-Ship_BOR_L)&lt;=0.0025,Ship_Vlsfo,NA())</f>
        <v>#N/A</v>
      </c>
      <c r="K179" s="39" t="e">
        <f>IF(ABS($B179-Ship_BorStar)&lt;=0.0025,MAX(Ship_Duty_L,0),NA())</f>
        <v>#N/A</v>
      </c>
      <c r="L179" s="39">
        <f>IF(MOD(82,20)=0,TEXT($B179,"0.0"),"")</f>
        <v/>
      </c>
    </row>
    <row r="180" spans="2:12" ht="17" customHeight="1">
      <c r="B180" s="49">
        <v>0.515</v>
      </c>
      <c r="C180" s="39">
        <f>Ship_CargoL*$B180/100</f>
        <v>14584.8</v>
      </c>
      <c r="D180" s="39">
        <f>Ship_HCap</f>
        <v>13325</v>
      </c>
      <c r="E180" s="39">
        <f>MAX(0,C180-Ship_HCap)</f>
        <v>1259.8</v>
      </c>
      <c r="F180" s="39">
        <f>Ship_Duty_L-MIN(C180,Ship_HCap)*Ship_LHV_H2/Ship_LHV_VLSFO/1000</f>
        <v>0</v>
      </c>
      <c r="G180" s="39">
        <f>IF(E180&gt;0,Ship_Duty_L-C180*Ship_LHV_H2/Ship_LHV_VLSFO/1000,NA())</f>
        <v>-3.68721951219512</v>
      </c>
      <c r="H180" s="39" t="e">
        <f>IF(ABS($B180-Ship_BorStar)&lt;=0.0025,Ship_HCap,NA())</f>
        <v>#N/A</v>
      </c>
      <c r="I180" s="39" t="e">
        <f>IF(ABS($B180-Ship_BOR_L)&lt;=0.0025,Ship_BOG,NA())</f>
        <v>#N/A</v>
      </c>
      <c r="J180" s="39" t="e">
        <f>IF(ABS($B180-Ship_BOR_L)&lt;=0.0025,Ship_Vlsfo,NA())</f>
        <v>#N/A</v>
      </c>
      <c r="K180" s="39" t="e">
        <f>IF(ABS($B180-Ship_BorStar)&lt;=0.0025,MAX(Ship_Duty_L,0),NA())</f>
        <v>#N/A</v>
      </c>
      <c r="L180" s="39">
        <f>IF(MOD(83,20)=0,TEXT($B180,"0.0"),"")</f>
        <v/>
      </c>
    </row>
    <row r="181" spans="2:12" ht="17" customHeight="1">
      <c r="B181" s="49">
        <v>0.52</v>
      </c>
      <c r="C181" s="39">
        <f>Ship_CargoL*$B181/100</f>
        <v>14726.4</v>
      </c>
      <c r="D181" s="39">
        <f>Ship_HCap</f>
        <v>13325</v>
      </c>
      <c r="E181" s="39">
        <f>MAX(0,C181-Ship_HCap)</f>
        <v>1401.4</v>
      </c>
      <c r="F181" s="39">
        <f>Ship_Duty_L-MIN(C181,Ship_HCap)*Ship_LHV_H2/Ship_LHV_VLSFO/1000</f>
        <v>0</v>
      </c>
      <c r="G181" s="39">
        <f>IF(E181&gt;0,Ship_Duty_L-C181*Ship_LHV_H2/Ship_LHV_VLSFO/1000,NA())</f>
        <v>-4.10165853658537</v>
      </c>
      <c r="H181" s="39" t="e">
        <f>IF(ABS($B181-Ship_BorStar)&lt;=0.0025,Ship_HCap,NA())</f>
        <v>#N/A</v>
      </c>
      <c r="I181" s="39" t="e">
        <f>IF(ABS($B181-Ship_BOR_L)&lt;=0.0025,Ship_BOG,NA())</f>
        <v>#N/A</v>
      </c>
      <c r="J181" s="39" t="e">
        <f>IF(ABS($B181-Ship_BOR_L)&lt;=0.0025,Ship_Vlsfo,NA())</f>
        <v>#N/A</v>
      </c>
      <c r="K181" s="39" t="e">
        <f>IF(ABS($B181-Ship_BorStar)&lt;=0.0025,MAX(Ship_Duty_L,0),NA())</f>
        <v>#N/A</v>
      </c>
      <c r="L181" s="39">
        <f>IF(MOD(84,20)=0,TEXT($B181,"0.0"),"")</f>
        <v/>
      </c>
    </row>
    <row r="182" spans="2:12" ht="17" customHeight="1">
      <c r="B182" s="49">
        <v>0.525</v>
      </c>
      <c r="C182" s="39">
        <f>Ship_CargoL*$B182/100</f>
        <v>14868</v>
      </c>
      <c r="D182" s="39">
        <f>Ship_HCap</f>
        <v>13325</v>
      </c>
      <c r="E182" s="39">
        <f>MAX(0,C182-Ship_HCap)</f>
        <v>1543</v>
      </c>
      <c r="F182" s="39">
        <f>Ship_Duty_L-MIN(C182,Ship_HCap)*Ship_LHV_H2/Ship_LHV_VLSFO/1000</f>
        <v>0</v>
      </c>
      <c r="G182" s="39">
        <f>IF(E182&gt;0,Ship_Duty_L-C182*Ship_LHV_H2/Ship_LHV_VLSFO/1000,NA())</f>
        <v>-4.51609756097562</v>
      </c>
      <c r="H182" s="39" t="e">
        <f>IF(ABS($B182-Ship_BorStar)&lt;=0.0025,Ship_HCap,NA())</f>
        <v>#N/A</v>
      </c>
      <c r="I182" s="39" t="e">
        <f>IF(ABS($B182-Ship_BOR_L)&lt;=0.0025,Ship_BOG,NA())</f>
        <v>#N/A</v>
      </c>
      <c r="J182" s="39" t="e">
        <f>IF(ABS($B182-Ship_BOR_L)&lt;=0.0025,Ship_Vlsfo,NA())</f>
        <v>#N/A</v>
      </c>
      <c r="K182" s="39" t="e">
        <f>IF(ABS($B182-Ship_BorStar)&lt;=0.0025,MAX(Ship_Duty_L,0),NA())</f>
        <v>#N/A</v>
      </c>
      <c r="L182" s="39">
        <f>IF(MOD(85,20)=0,TEXT($B182,"0.0"),"")</f>
        <v/>
      </c>
    </row>
    <row r="183" spans="2:12" ht="17" customHeight="1">
      <c r="B183" s="49">
        <v>0.53</v>
      </c>
      <c r="C183" s="39">
        <f>Ship_CargoL*$B183/100</f>
        <v>15009.6</v>
      </c>
      <c r="D183" s="39">
        <f>Ship_HCap</f>
        <v>13325</v>
      </c>
      <c r="E183" s="39">
        <f>MAX(0,C183-Ship_HCap)</f>
        <v>1684.6</v>
      </c>
      <c r="F183" s="39">
        <f>Ship_Duty_L-MIN(C183,Ship_HCap)*Ship_LHV_H2/Ship_LHV_VLSFO/1000</f>
        <v>0</v>
      </c>
      <c r="G183" s="39">
        <f>IF(E183&gt;0,Ship_Duty_L-C183*Ship_LHV_H2/Ship_LHV_VLSFO/1000,NA())</f>
        <v>-4.93053658536585</v>
      </c>
      <c r="H183" s="39" t="e">
        <f>IF(ABS($B183-Ship_BorStar)&lt;=0.0025,Ship_HCap,NA())</f>
        <v>#N/A</v>
      </c>
      <c r="I183" s="39" t="e">
        <f>IF(ABS($B183-Ship_BOR_L)&lt;=0.0025,Ship_BOG,NA())</f>
        <v>#N/A</v>
      </c>
      <c r="J183" s="39" t="e">
        <f>IF(ABS($B183-Ship_BOR_L)&lt;=0.0025,Ship_Vlsfo,NA())</f>
        <v>#N/A</v>
      </c>
      <c r="K183" s="39" t="e">
        <f>IF(ABS($B183-Ship_BorStar)&lt;=0.0025,MAX(Ship_Duty_L,0),NA())</f>
        <v>#N/A</v>
      </c>
      <c r="L183" s="39">
        <f>IF(MOD(86,20)=0,TEXT($B183,"0.0"),"")</f>
        <v/>
      </c>
    </row>
    <row r="184" spans="2:12" ht="17" customHeight="1">
      <c r="B184" s="49">
        <v>0.535</v>
      </c>
      <c r="C184" s="39">
        <f>Ship_CargoL*$B184/100</f>
        <v>15151.2</v>
      </c>
      <c r="D184" s="39">
        <f>Ship_HCap</f>
        <v>13325</v>
      </c>
      <c r="E184" s="39">
        <f>MAX(0,C184-Ship_HCap)</f>
        <v>1826.2</v>
      </c>
      <c r="F184" s="39">
        <f>Ship_Duty_L-MIN(C184,Ship_HCap)*Ship_LHV_H2/Ship_LHV_VLSFO/1000</f>
        <v>0</v>
      </c>
      <c r="G184" s="39">
        <f>IF(E184&gt;0,Ship_Duty_L-C184*Ship_LHV_H2/Ship_LHV_VLSFO/1000,NA())</f>
        <v>-5.3449756097561</v>
      </c>
      <c r="H184" s="39" t="e">
        <f>IF(ABS($B184-Ship_BorStar)&lt;=0.0025,Ship_HCap,NA())</f>
        <v>#N/A</v>
      </c>
      <c r="I184" s="39" t="e">
        <f>IF(ABS($B184-Ship_BOR_L)&lt;=0.0025,Ship_BOG,NA())</f>
        <v>#N/A</v>
      </c>
      <c r="J184" s="39" t="e">
        <f>IF(ABS($B184-Ship_BOR_L)&lt;=0.0025,Ship_Vlsfo,NA())</f>
        <v>#N/A</v>
      </c>
      <c r="K184" s="39" t="e">
        <f>IF(ABS($B184-Ship_BorStar)&lt;=0.0025,MAX(Ship_Duty_L,0),NA())</f>
        <v>#N/A</v>
      </c>
      <c r="L184" s="39">
        <f>IF(MOD(87,20)=0,TEXT($B184,"0.0"),"")</f>
        <v/>
      </c>
    </row>
    <row r="185" spans="2:12" ht="17" customHeight="1">
      <c r="B185" s="49">
        <v>0.54</v>
      </c>
      <c r="C185" s="39">
        <f>Ship_CargoL*$B185/100</f>
        <v>15292.8</v>
      </c>
      <c r="D185" s="39">
        <f>Ship_HCap</f>
        <v>13325</v>
      </c>
      <c r="E185" s="39">
        <f>MAX(0,C185-Ship_HCap)</f>
        <v>1967.8</v>
      </c>
      <c r="F185" s="39">
        <f>Ship_Duty_L-MIN(C185,Ship_HCap)*Ship_LHV_H2/Ship_LHV_VLSFO/1000</f>
        <v>0</v>
      </c>
      <c r="G185" s="39">
        <f>IF(E185&gt;0,Ship_Duty_L-C185*Ship_LHV_H2/Ship_LHV_VLSFO/1000,NA())</f>
        <v>-5.75941463414634</v>
      </c>
      <c r="H185" s="39" t="e">
        <f>IF(ABS($B185-Ship_BorStar)&lt;=0.0025,Ship_HCap,NA())</f>
        <v>#N/A</v>
      </c>
      <c r="I185" s="39" t="e">
        <f>IF(ABS($B185-Ship_BOR_L)&lt;=0.0025,Ship_BOG,NA())</f>
        <v>#N/A</v>
      </c>
      <c r="J185" s="39" t="e">
        <f>IF(ABS($B185-Ship_BOR_L)&lt;=0.0025,Ship_Vlsfo,NA())</f>
        <v>#N/A</v>
      </c>
      <c r="K185" s="39" t="e">
        <f>IF(ABS($B185-Ship_BorStar)&lt;=0.0025,MAX(Ship_Duty_L,0),NA())</f>
        <v>#N/A</v>
      </c>
      <c r="L185" s="39">
        <f>IF(MOD(88,20)=0,TEXT($B185,"0.0"),"")</f>
        <v/>
      </c>
    </row>
    <row r="186" spans="2:12" ht="17" customHeight="1">
      <c r="B186" s="49">
        <v>0.545</v>
      </c>
      <c r="C186" s="39">
        <f>Ship_CargoL*$B186/100</f>
        <v>15434.4</v>
      </c>
      <c r="D186" s="39">
        <f>Ship_HCap</f>
        <v>13325</v>
      </c>
      <c r="E186" s="39">
        <f>MAX(0,C186-Ship_HCap)</f>
        <v>2109.4</v>
      </c>
      <c r="F186" s="39">
        <f>Ship_Duty_L-MIN(C186,Ship_HCap)*Ship_LHV_H2/Ship_LHV_VLSFO/1000</f>
        <v>0</v>
      </c>
      <c r="G186" s="39">
        <f>IF(E186&gt;0,Ship_Duty_L-C186*Ship_LHV_H2/Ship_LHV_VLSFO/1000,NA())</f>
        <v>-6.17385365853659</v>
      </c>
      <c r="H186" s="39" t="e">
        <f>IF(ABS($B186-Ship_BorStar)&lt;=0.0025,Ship_HCap,NA())</f>
        <v>#N/A</v>
      </c>
      <c r="I186" s="39" t="e">
        <f>IF(ABS($B186-Ship_BOR_L)&lt;=0.0025,Ship_BOG,NA())</f>
        <v>#N/A</v>
      </c>
      <c r="J186" s="39" t="e">
        <f>IF(ABS($B186-Ship_BOR_L)&lt;=0.0025,Ship_Vlsfo,NA())</f>
        <v>#N/A</v>
      </c>
      <c r="K186" s="39" t="e">
        <f>IF(ABS($B186-Ship_BorStar)&lt;=0.0025,MAX(Ship_Duty_L,0),NA())</f>
        <v>#N/A</v>
      </c>
      <c r="L186" s="39">
        <f>IF(MOD(89,20)=0,TEXT($B186,"0.0"),"")</f>
        <v/>
      </c>
    </row>
    <row r="187" spans="2:12" ht="17" customHeight="1">
      <c r="B187" s="49">
        <v>0.55</v>
      </c>
      <c r="C187" s="39">
        <f>Ship_CargoL*$B187/100</f>
        <v>15576</v>
      </c>
      <c r="D187" s="39">
        <f>Ship_HCap</f>
        <v>13325</v>
      </c>
      <c r="E187" s="39">
        <f>MAX(0,C187-Ship_HCap)</f>
        <v>2251</v>
      </c>
      <c r="F187" s="39">
        <f>Ship_Duty_L-MIN(C187,Ship_HCap)*Ship_LHV_H2/Ship_LHV_VLSFO/1000</f>
        <v>0</v>
      </c>
      <c r="G187" s="39">
        <f>IF(E187&gt;0,Ship_Duty_L-C187*Ship_LHV_H2/Ship_LHV_VLSFO/1000,NA())</f>
        <v>-6.58829268292683</v>
      </c>
      <c r="H187" s="39" t="e">
        <f>IF(ABS($B187-Ship_BorStar)&lt;=0.0025,Ship_HCap,NA())</f>
        <v>#N/A</v>
      </c>
      <c r="I187" s="39" t="e">
        <f>IF(ABS($B187-Ship_BOR_L)&lt;=0.0025,Ship_BOG,NA())</f>
        <v>#N/A</v>
      </c>
      <c r="J187" s="39" t="e">
        <f>IF(ABS($B187-Ship_BOR_L)&lt;=0.0025,Ship_Vlsfo,NA())</f>
        <v>#N/A</v>
      </c>
      <c r="K187" s="39" t="e">
        <f>IF(ABS($B187-Ship_BorStar)&lt;=0.0025,MAX(Ship_Duty_L,0),NA())</f>
        <v>#N/A</v>
      </c>
      <c r="L187" s="39">
        <f>IF(MOD(90,20)=0,TEXT($B187,"0.0"),"")</f>
        <v/>
      </c>
    </row>
    <row r="188" spans="2:12" ht="17" customHeight="1">
      <c r="B188" s="49">
        <v>0.555</v>
      </c>
      <c r="C188" s="39">
        <f>Ship_CargoL*$B188/100</f>
        <v>15717.6</v>
      </c>
      <c r="D188" s="39">
        <f>Ship_HCap</f>
        <v>13325</v>
      </c>
      <c r="E188" s="39">
        <f>MAX(0,C188-Ship_HCap)</f>
        <v>2392.6</v>
      </c>
      <c r="F188" s="39">
        <f>Ship_Duty_L-MIN(C188,Ship_HCap)*Ship_LHV_H2/Ship_LHV_VLSFO/1000</f>
        <v>0</v>
      </c>
      <c r="G188" s="39">
        <f>IF(E188&gt;0,Ship_Duty_L-C188*Ship_LHV_H2/Ship_LHV_VLSFO/1000,NA())</f>
        <v>-7.00273170731708</v>
      </c>
      <c r="H188" s="39" t="e">
        <f>IF(ABS($B188-Ship_BorStar)&lt;=0.0025,Ship_HCap,NA())</f>
        <v>#N/A</v>
      </c>
      <c r="I188" s="39" t="e">
        <f>IF(ABS($B188-Ship_BOR_L)&lt;=0.0025,Ship_BOG,NA())</f>
        <v>#N/A</v>
      </c>
      <c r="J188" s="39" t="e">
        <f>IF(ABS($B188-Ship_BOR_L)&lt;=0.0025,Ship_Vlsfo,NA())</f>
        <v>#N/A</v>
      </c>
      <c r="K188" s="39" t="e">
        <f>IF(ABS($B188-Ship_BorStar)&lt;=0.0025,MAX(Ship_Duty_L,0),NA())</f>
        <v>#N/A</v>
      </c>
      <c r="L188" s="39">
        <f>IF(MOD(91,20)=0,TEXT($B188,"0.0"),"")</f>
        <v/>
      </c>
    </row>
    <row r="189" spans="2:12" ht="17" customHeight="1">
      <c r="B189" s="49">
        <v>0.5600000000000001</v>
      </c>
      <c r="C189" s="39">
        <f>Ship_CargoL*$B189/100</f>
        <v>15859.2</v>
      </c>
      <c r="D189" s="39">
        <f>Ship_HCap</f>
        <v>13325</v>
      </c>
      <c r="E189" s="39">
        <f>MAX(0,C189-Ship_HCap)</f>
        <v>2534.2</v>
      </c>
      <c r="F189" s="39">
        <f>Ship_Duty_L-MIN(C189,Ship_HCap)*Ship_LHV_H2/Ship_LHV_VLSFO/1000</f>
        <v>0</v>
      </c>
      <c r="G189" s="39">
        <f>IF(E189&gt;0,Ship_Duty_L-C189*Ship_LHV_H2/Ship_LHV_VLSFO/1000,NA())</f>
        <v>-7.41717073170732</v>
      </c>
      <c r="H189" s="39" t="e">
        <f>IF(ABS($B189-Ship_BorStar)&lt;=0.0025,Ship_HCap,NA())</f>
        <v>#N/A</v>
      </c>
      <c r="I189" s="39" t="e">
        <f>IF(ABS($B189-Ship_BOR_L)&lt;=0.0025,Ship_BOG,NA())</f>
        <v>#N/A</v>
      </c>
      <c r="J189" s="39" t="e">
        <f>IF(ABS($B189-Ship_BOR_L)&lt;=0.0025,Ship_Vlsfo,NA())</f>
        <v>#N/A</v>
      </c>
      <c r="K189" s="39" t="e">
        <f>IF(ABS($B189-Ship_BorStar)&lt;=0.0025,MAX(Ship_Duty_L,0),NA())</f>
        <v>#N/A</v>
      </c>
      <c r="L189" s="39">
        <f>IF(MOD(92,20)=0,TEXT($B189,"0.0"),"")</f>
        <v/>
      </c>
    </row>
    <row r="190" spans="2:12" ht="17" customHeight="1">
      <c r="B190" s="49">
        <v>0.5649999999999999</v>
      </c>
      <c r="C190" s="39">
        <f>Ship_CargoL*$B190/100</f>
        <v>16000.8</v>
      </c>
      <c r="D190" s="39">
        <f>Ship_HCap</f>
        <v>13325</v>
      </c>
      <c r="E190" s="39">
        <f>MAX(0,C190-Ship_HCap)</f>
        <v>2675.8</v>
      </c>
      <c r="F190" s="39">
        <f>Ship_Duty_L-MIN(C190,Ship_HCap)*Ship_LHV_H2/Ship_LHV_VLSFO/1000</f>
        <v>0</v>
      </c>
      <c r="G190" s="39">
        <f>IF(E190&gt;0,Ship_Duty_L-C190*Ship_LHV_H2/Ship_LHV_VLSFO/1000,NA())</f>
        <v>-7.83160975609756</v>
      </c>
      <c r="H190" s="39" t="e">
        <f>IF(ABS($B190-Ship_BorStar)&lt;=0.0025,Ship_HCap,NA())</f>
        <v>#N/A</v>
      </c>
      <c r="I190" s="39" t="e">
        <f>IF(ABS($B190-Ship_BOR_L)&lt;=0.0025,Ship_BOG,NA())</f>
        <v>#N/A</v>
      </c>
      <c r="J190" s="39" t="e">
        <f>IF(ABS($B190-Ship_BOR_L)&lt;=0.0025,Ship_Vlsfo,NA())</f>
        <v>#N/A</v>
      </c>
      <c r="K190" s="39" t="e">
        <f>IF(ABS($B190-Ship_BorStar)&lt;=0.0025,MAX(Ship_Duty_L,0),NA())</f>
        <v>#N/A</v>
      </c>
      <c r="L190" s="39">
        <f>IF(MOD(93,20)=0,TEXT($B190,"0.0"),"")</f>
        <v/>
      </c>
    </row>
    <row r="191" spans="2:12" ht="17" customHeight="1">
      <c r="B191" s="49">
        <v>0.57</v>
      </c>
      <c r="C191" s="39">
        <f>Ship_CargoL*$B191/100</f>
        <v>16142.4</v>
      </c>
      <c r="D191" s="39">
        <f>Ship_HCap</f>
        <v>13325</v>
      </c>
      <c r="E191" s="39">
        <f>MAX(0,C191-Ship_HCap)</f>
        <v>2817.4</v>
      </c>
      <c r="F191" s="39">
        <f>Ship_Duty_L-MIN(C191,Ship_HCap)*Ship_LHV_H2/Ship_LHV_VLSFO/1000</f>
        <v>0</v>
      </c>
      <c r="G191" s="39">
        <f>IF(E191&gt;0,Ship_Duty_L-C191*Ship_LHV_H2/Ship_LHV_VLSFO/1000,NA())</f>
        <v>-8.2460487804878</v>
      </c>
      <c r="H191" s="39" t="e">
        <f>IF(ABS($B191-Ship_BorStar)&lt;=0.0025,Ship_HCap,NA())</f>
        <v>#N/A</v>
      </c>
      <c r="I191" s="39" t="e">
        <f>IF(ABS($B191-Ship_BOR_L)&lt;=0.0025,Ship_BOG,NA())</f>
        <v>#N/A</v>
      </c>
      <c r="J191" s="39" t="e">
        <f>IF(ABS($B191-Ship_BOR_L)&lt;=0.0025,Ship_Vlsfo,NA())</f>
        <v>#N/A</v>
      </c>
      <c r="K191" s="39" t="e">
        <f>IF(ABS($B191-Ship_BorStar)&lt;=0.0025,MAX(Ship_Duty_L,0),NA())</f>
        <v>#N/A</v>
      </c>
      <c r="L191" s="39">
        <f>IF(MOD(94,20)=0,TEXT($B191,"0.0"),"")</f>
        <v/>
      </c>
    </row>
    <row r="192" spans="2:12" ht="17" customHeight="1">
      <c r="B192" s="49">
        <v>0.575</v>
      </c>
      <c r="C192" s="39">
        <f>Ship_CargoL*$B192/100</f>
        <v>16284</v>
      </c>
      <c r="D192" s="39">
        <f>Ship_HCap</f>
        <v>13325</v>
      </c>
      <c r="E192" s="39">
        <f>MAX(0,C192-Ship_HCap)</f>
        <v>2959</v>
      </c>
      <c r="F192" s="39">
        <f>Ship_Duty_L-MIN(C192,Ship_HCap)*Ship_LHV_H2/Ship_LHV_VLSFO/1000</f>
        <v>0</v>
      </c>
      <c r="G192" s="39">
        <f>IF(E192&gt;0,Ship_Duty_L-C192*Ship_LHV_H2/Ship_LHV_VLSFO/1000,NA())</f>
        <v>-8.66048780487805</v>
      </c>
      <c r="H192" s="39" t="e">
        <f>IF(ABS($B192-Ship_BorStar)&lt;=0.0025,Ship_HCap,NA())</f>
        <v>#N/A</v>
      </c>
      <c r="I192" s="39" t="e">
        <f>IF(ABS($B192-Ship_BOR_L)&lt;=0.0025,Ship_BOG,NA())</f>
        <v>#N/A</v>
      </c>
      <c r="J192" s="39" t="e">
        <f>IF(ABS($B192-Ship_BOR_L)&lt;=0.0025,Ship_Vlsfo,NA())</f>
        <v>#N/A</v>
      </c>
      <c r="K192" s="39" t="e">
        <f>IF(ABS($B192-Ship_BorStar)&lt;=0.0025,MAX(Ship_Duty_L,0),NA())</f>
        <v>#N/A</v>
      </c>
      <c r="L192" s="39">
        <f>IF(MOD(95,20)=0,TEXT($B192,"0.0"),"")</f>
        <v/>
      </c>
    </row>
    <row r="193" spans="2:12" ht="17" customHeight="1">
      <c r="B193" s="49">
        <v>0.58</v>
      </c>
      <c r="C193" s="39">
        <f>Ship_CargoL*$B193/100</f>
        <v>16425.6</v>
      </c>
      <c r="D193" s="39">
        <f>Ship_HCap</f>
        <v>13325</v>
      </c>
      <c r="E193" s="39">
        <f>MAX(0,C193-Ship_HCap)</f>
        <v>3100.6</v>
      </c>
      <c r="F193" s="39">
        <f>Ship_Duty_L-MIN(C193,Ship_HCap)*Ship_LHV_H2/Ship_LHV_VLSFO/1000</f>
        <v>0</v>
      </c>
      <c r="G193" s="39">
        <f>IF(E193&gt;0,Ship_Duty_L-C193*Ship_LHV_H2/Ship_LHV_VLSFO/1000,NA())</f>
        <v>-9.07492682926829</v>
      </c>
      <c r="H193" s="39" t="e">
        <f>IF(ABS($B193-Ship_BorStar)&lt;=0.0025,Ship_HCap,NA())</f>
        <v>#N/A</v>
      </c>
      <c r="I193" s="39" t="e">
        <f>IF(ABS($B193-Ship_BOR_L)&lt;=0.0025,Ship_BOG,NA())</f>
        <v>#N/A</v>
      </c>
      <c r="J193" s="39" t="e">
        <f>IF(ABS($B193-Ship_BOR_L)&lt;=0.0025,Ship_Vlsfo,NA())</f>
        <v>#N/A</v>
      </c>
      <c r="K193" s="39" t="e">
        <f>IF(ABS($B193-Ship_BorStar)&lt;=0.0025,MAX(Ship_Duty_L,0),NA())</f>
        <v>#N/A</v>
      </c>
      <c r="L193" s="39">
        <f>IF(MOD(96,20)=0,TEXT($B193,"0.0"),"")</f>
        <v/>
      </c>
    </row>
    <row r="194" spans="2:12" ht="17" customHeight="1">
      <c r="B194" s="49">
        <v>0.585</v>
      </c>
      <c r="C194" s="39">
        <f>Ship_CargoL*$B194/100</f>
        <v>16567.2</v>
      </c>
      <c r="D194" s="39">
        <f>Ship_HCap</f>
        <v>13325</v>
      </c>
      <c r="E194" s="39">
        <f>MAX(0,C194-Ship_HCap)</f>
        <v>3242.2</v>
      </c>
      <c r="F194" s="39">
        <f>Ship_Duty_L-MIN(C194,Ship_HCap)*Ship_LHV_H2/Ship_LHV_VLSFO/1000</f>
        <v>0</v>
      </c>
      <c r="G194" s="39">
        <f>IF(E194&gt;0,Ship_Duty_L-C194*Ship_LHV_H2/Ship_LHV_VLSFO/1000,NA())</f>
        <v>-9.48936585365853</v>
      </c>
      <c r="H194" s="39" t="e">
        <f>IF(ABS($B194-Ship_BorStar)&lt;=0.0025,Ship_HCap,NA())</f>
        <v>#N/A</v>
      </c>
      <c r="I194" s="39" t="e">
        <f>IF(ABS($B194-Ship_BOR_L)&lt;=0.0025,Ship_BOG,NA())</f>
        <v>#N/A</v>
      </c>
      <c r="J194" s="39" t="e">
        <f>IF(ABS($B194-Ship_BOR_L)&lt;=0.0025,Ship_Vlsfo,NA())</f>
        <v>#N/A</v>
      </c>
      <c r="K194" s="39" t="e">
        <f>IF(ABS($B194-Ship_BorStar)&lt;=0.0025,MAX(Ship_Duty_L,0),NA())</f>
        <v>#N/A</v>
      </c>
      <c r="L194" s="39">
        <f>IF(MOD(97,20)=0,TEXT($B194,"0.0"),"")</f>
        <v/>
      </c>
    </row>
    <row r="195" spans="2:12" ht="17" customHeight="1">
      <c r="B195" s="49">
        <v>0.59</v>
      </c>
      <c r="C195" s="39">
        <f>Ship_CargoL*$B195/100</f>
        <v>16708.8</v>
      </c>
      <c r="D195" s="39">
        <f>Ship_HCap</f>
        <v>13325</v>
      </c>
      <c r="E195" s="39">
        <f>MAX(0,C195-Ship_HCap)</f>
        <v>3383.8</v>
      </c>
      <c r="F195" s="39">
        <f>Ship_Duty_L-MIN(C195,Ship_HCap)*Ship_LHV_H2/Ship_LHV_VLSFO/1000</f>
        <v>0</v>
      </c>
      <c r="G195" s="39">
        <f>IF(E195&gt;0,Ship_Duty_L-C195*Ship_LHV_H2/Ship_LHV_VLSFO/1000,NA())</f>
        <v>-9.90380487804878</v>
      </c>
      <c r="H195" s="39" t="e">
        <f>IF(ABS($B195-Ship_BorStar)&lt;=0.0025,Ship_HCap,NA())</f>
        <v>#N/A</v>
      </c>
      <c r="I195" s="39" t="e">
        <f>IF(ABS($B195-Ship_BOR_L)&lt;=0.0025,Ship_BOG,NA())</f>
        <v>#N/A</v>
      </c>
      <c r="J195" s="39" t="e">
        <f>IF(ABS($B195-Ship_BOR_L)&lt;=0.0025,Ship_Vlsfo,NA())</f>
        <v>#N/A</v>
      </c>
      <c r="K195" s="39" t="e">
        <f>IF(ABS($B195-Ship_BorStar)&lt;=0.0025,MAX(Ship_Duty_L,0),NA())</f>
        <v>#N/A</v>
      </c>
      <c r="L195" s="39">
        <f>IF(MOD(98,20)=0,TEXT($B195,"0.0"),"")</f>
        <v/>
      </c>
    </row>
    <row r="196" spans="2:12" ht="17" customHeight="1">
      <c r="B196" s="49">
        <v>0.595</v>
      </c>
      <c r="C196" s="39">
        <f>Ship_CargoL*$B196/100</f>
        <v>16850.4</v>
      </c>
      <c r="D196" s="39">
        <f>Ship_HCap</f>
        <v>13325</v>
      </c>
      <c r="E196" s="39">
        <f>MAX(0,C196-Ship_HCap)</f>
        <v>3525.4</v>
      </c>
      <c r="F196" s="39">
        <f>Ship_Duty_L-MIN(C196,Ship_HCap)*Ship_LHV_H2/Ship_LHV_VLSFO/1000</f>
        <v>0</v>
      </c>
      <c r="G196" s="39">
        <f>IF(E196&gt;0,Ship_Duty_L-C196*Ship_LHV_H2/Ship_LHV_VLSFO/1000,NA())</f>
        <v>-10.318243902439</v>
      </c>
      <c r="H196" s="39" t="e">
        <f>IF(ABS($B196-Ship_BorStar)&lt;=0.0025,Ship_HCap,NA())</f>
        <v>#N/A</v>
      </c>
      <c r="I196" s="39" t="e">
        <f>IF(ABS($B196-Ship_BOR_L)&lt;=0.0025,Ship_BOG,NA())</f>
        <v>#N/A</v>
      </c>
      <c r="J196" s="39" t="e">
        <f>IF(ABS($B196-Ship_BOR_L)&lt;=0.0025,Ship_Vlsfo,NA())</f>
        <v>#N/A</v>
      </c>
      <c r="K196" s="39" t="e">
        <f>IF(ABS($B196-Ship_BorStar)&lt;=0.0025,MAX(Ship_Duty_L,0),NA())</f>
        <v>#N/A</v>
      </c>
      <c r="L196" s="39">
        <f>IF(MOD(99,20)=0,TEXT($B196,"0.0"),"")</f>
        <v/>
      </c>
    </row>
    <row r="197" spans="2:12" ht="17" customHeight="1">
      <c r="B197" s="49">
        <v>0.6</v>
      </c>
      <c r="C197" s="39">
        <f>Ship_CargoL*$B197/100</f>
        <v>16992</v>
      </c>
      <c r="D197" s="39">
        <f>Ship_HCap</f>
        <v>13325</v>
      </c>
      <c r="E197" s="39">
        <f>MAX(0,C197-Ship_HCap)</f>
        <v>3667</v>
      </c>
      <c r="F197" s="39">
        <f>Ship_Duty_L-MIN(C197,Ship_HCap)*Ship_LHV_H2/Ship_LHV_VLSFO/1000</f>
        <v>0</v>
      </c>
      <c r="G197" s="39">
        <f>IF(E197&gt;0,Ship_Duty_L-C197*Ship_LHV_H2/Ship_LHV_VLSFO/1000,NA())</f>
        <v>-10.7326829268293</v>
      </c>
      <c r="H197" s="39" t="e">
        <f>IF(ABS($B197-Ship_BorStar)&lt;=0.0025,Ship_HCap,NA())</f>
        <v>#N/A</v>
      </c>
      <c r="I197" s="39" t="e">
        <f>IF(ABS($B197-Ship_BOR_L)&lt;=0.0025,Ship_BOG,NA())</f>
        <v>#N/A</v>
      </c>
      <c r="J197" s="39" t="e">
        <f>IF(ABS($B197-Ship_BOR_L)&lt;=0.0025,Ship_Vlsfo,NA())</f>
        <v>#N/A</v>
      </c>
      <c r="K197" s="39" t="e">
        <f>IF(ABS($B197-Ship_BorStar)&lt;=0.0025,MAX(Ship_Duty_L,0),NA())</f>
        <v>#N/A</v>
      </c>
      <c r="L197" s="39" t="str">
        <f>IF(MOD(100,20)=0,TEXT($B197,"0.0"),"")</f>
        <v>0.6</v>
      </c>
    </row>
    <row r="198" spans="2:12" ht="17" customHeight="1">
      <c r="B198" s="49">
        <v>0.605</v>
      </c>
      <c r="C198" s="39">
        <f>Ship_CargoL*$B198/100</f>
        <v>17133.6</v>
      </c>
      <c r="D198" s="39">
        <f>Ship_HCap</f>
        <v>13325</v>
      </c>
      <c r="E198" s="39">
        <f>MAX(0,C198-Ship_HCap)</f>
        <v>3808.6</v>
      </c>
      <c r="F198" s="39">
        <f>Ship_Duty_L-MIN(C198,Ship_HCap)*Ship_LHV_H2/Ship_LHV_VLSFO/1000</f>
        <v>0</v>
      </c>
      <c r="G198" s="39">
        <f>IF(E198&gt;0,Ship_Duty_L-C198*Ship_LHV_H2/Ship_LHV_VLSFO/1000,NA())</f>
        <v>-11.1471219512195</v>
      </c>
      <c r="H198" s="39" t="e">
        <f>IF(ABS($B198-Ship_BorStar)&lt;=0.0025,Ship_HCap,NA())</f>
        <v>#N/A</v>
      </c>
      <c r="I198" s="39" t="e">
        <f>IF(ABS($B198-Ship_BOR_L)&lt;=0.0025,Ship_BOG,NA())</f>
        <v>#N/A</v>
      </c>
      <c r="J198" s="39" t="e">
        <f>IF(ABS($B198-Ship_BOR_L)&lt;=0.0025,Ship_Vlsfo,NA())</f>
        <v>#N/A</v>
      </c>
      <c r="K198" s="39" t="e">
        <f>IF(ABS($B198-Ship_BorStar)&lt;=0.0025,MAX(Ship_Duty_L,0),NA())</f>
        <v>#N/A</v>
      </c>
      <c r="L198" s="39">
        <f>IF(MOD(101,20)=0,TEXT($B198,"0.0"),"")</f>
        <v/>
      </c>
    </row>
    <row r="199" spans="2:12" ht="17" customHeight="1">
      <c r="B199" s="49">
        <v>0.61</v>
      </c>
      <c r="C199" s="39">
        <f>Ship_CargoL*$B199/100</f>
        <v>17275.2</v>
      </c>
      <c r="D199" s="39">
        <f>Ship_HCap</f>
        <v>13325</v>
      </c>
      <c r="E199" s="39">
        <f>MAX(0,C199-Ship_HCap)</f>
        <v>3950.2</v>
      </c>
      <c r="F199" s="39">
        <f>Ship_Duty_L-MIN(C199,Ship_HCap)*Ship_LHV_H2/Ship_LHV_VLSFO/1000</f>
        <v>0</v>
      </c>
      <c r="G199" s="39">
        <f>IF(E199&gt;0,Ship_Duty_L-C199*Ship_LHV_H2/Ship_LHV_VLSFO/1000,NA())</f>
        <v>-11.5615609756098</v>
      </c>
      <c r="H199" s="39" t="e">
        <f>IF(ABS($B199-Ship_BorStar)&lt;=0.0025,Ship_HCap,NA())</f>
        <v>#N/A</v>
      </c>
      <c r="I199" s="39" t="e">
        <f>IF(ABS($B199-Ship_BOR_L)&lt;=0.0025,Ship_BOG,NA())</f>
        <v>#N/A</v>
      </c>
      <c r="J199" s="39" t="e">
        <f>IF(ABS($B199-Ship_BOR_L)&lt;=0.0025,Ship_Vlsfo,NA())</f>
        <v>#N/A</v>
      </c>
      <c r="K199" s="39" t="e">
        <f>IF(ABS($B199-Ship_BorStar)&lt;=0.0025,MAX(Ship_Duty_L,0),NA())</f>
        <v>#N/A</v>
      </c>
      <c r="L199" s="39">
        <f>IF(MOD(102,20)=0,TEXT($B199,"0.0"),"")</f>
        <v/>
      </c>
    </row>
    <row r="200" spans="2:12" ht="17" customHeight="1">
      <c r="B200" s="49">
        <v>0.615</v>
      </c>
      <c r="C200" s="39">
        <f>Ship_CargoL*$B200/100</f>
        <v>17416.8</v>
      </c>
      <c r="D200" s="39">
        <f>Ship_HCap</f>
        <v>13325</v>
      </c>
      <c r="E200" s="39">
        <f>MAX(0,C200-Ship_HCap)</f>
        <v>4091.8</v>
      </c>
      <c r="F200" s="39">
        <f>Ship_Duty_L-MIN(C200,Ship_HCap)*Ship_LHV_H2/Ship_LHV_VLSFO/1000</f>
        <v>0</v>
      </c>
      <c r="G200" s="39">
        <f>IF(E200&gt;0,Ship_Duty_L-C200*Ship_LHV_H2/Ship_LHV_VLSFO/1000,NA())</f>
        <v>-11.976</v>
      </c>
      <c r="H200" s="39" t="e">
        <f>IF(ABS($B200-Ship_BorStar)&lt;=0.0025,Ship_HCap,NA())</f>
        <v>#N/A</v>
      </c>
      <c r="I200" s="39" t="e">
        <f>IF(ABS($B200-Ship_BOR_L)&lt;=0.0025,Ship_BOG,NA())</f>
        <v>#N/A</v>
      </c>
      <c r="J200" s="39" t="e">
        <f>IF(ABS($B200-Ship_BOR_L)&lt;=0.0025,Ship_Vlsfo,NA())</f>
        <v>#N/A</v>
      </c>
      <c r="K200" s="39" t="e">
        <f>IF(ABS($B200-Ship_BorStar)&lt;=0.0025,MAX(Ship_Duty_L,0),NA())</f>
        <v>#N/A</v>
      </c>
      <c r="L200" s="39">
        <f>IF(MOD(103,20)=0,TEXT($B200,"0.0"),"")</f>
        <v/>
      </c>
    </row>
    <row r="201" spans="2:12" ht="17" customHeight="1">
      <c r="B201" s="49">
        <v>0.62</v>
      </c>
      <c r="C201" s="39">
        <f>Ship_CargoL*$B201/100</f>
        <v>17558.4</v>
      </c>
      <c r="D201" s="39">
        <f>Ship_HCap</f>
        <v>13325</v>
      </c>
      <c r="E201" s="39">
        <f>MAX(0,C201-Ship_HCap)</f>
        <v>4233.4</v>
      </c>
      <c r="F201" s="39">
        <f>Ship_Duty_L-MIN(C201,Ship_HCap)*Ship_LHV_H2/Ship_LHV_VLSFO/1000</f>
        <v>0</v>
      </c>
      <c r="G201" s="39">
        <f>IF(E201&gt;0,Ship_Duty_L-C201*Ship_LHV_H2/Ship_LHV_VLSFO/1000,NA())</f>
        <v>-12.3904390243902</v>
      </c>
      <c r="H201" s="39" t="e">
        <f>IF(ABS($B201-Ship_BorStar)&lt;=0.0025,Ship_HCap,NA())</f>
        <v>#N/A</v>
      </c>
      <c r="I201" s="39" t="e">
        <f>IF(ABS($B201-Ship_BOR_L)&lt;=0.0025,Ship_BOG,NA())</f>
        <v>#N/A</v>
      </c>
      <c r="J201" s="39" t="e">
        <f>IF(ABS($B201-Ship_BOR_L)&lt;=0.0025,Ship_Vlsfo,NA())</f>
        <v>#N/A</v>
      </c>
      <c r="K201" s="39" t="e">
        <f>IF(ABS($B201-Ship_BorStar)&lt;=0.0025,MAX(Ship_Duty_L,0),NA())</f>
        <v>#N/A</v>
      </c>
      <c r="L201" s="39">
        <f>IF(MOD(104,20)=0,TEXT($B201,"0.0"),"")</f>
        <v/>
      </c>
    </row>
    <row r="202" spans="2:12" ht="17" customHeight="1">
      <c r="B202" s="49">
        <v>0.625</v>
      </c>
      <c r="C202" s="39">
        <f>Ship_CargoL*$B202/100</f>
        <v>17700</v>
      </c>
      <c r="D202" s="39">
        <f>Ship_HCap</f>
        <v>13325</v>
      </c>
      <c r="E202" s="39">
        <f>MAX(0,C202-Ship_HCap)</f>
        <v>4375</v>
      </c>
      <c r="F202" s="39">
        <f>Ship_Duty_L-MIN(C202,Ship_HCap)*Ship_LHV_H2/Ship_LHV_VLSFO/1000</f>
        <v>0</v>
      </c>
      <c r="G202" s="39">
        <f>IF(E202&gt;0,Ship_Duty_L-C202*Ship_LHV_H2/Ship_LHV_VLSFO/1000,NA())</f>
        <v>-12.8048780487805</v>
      </c>
      <c r="H202" s="39" t="e">
        <f>IF(ABS($B202-Ship_BorStar)&lt;=0.0025,Ship_HCap,NA())</f>
        <v>#N/A</v>
      </c>
      <c r="I202" s="39" t="e">
        <f>IF(ABS($B202-Ship_BOR_L)&lt;=0.0025,Ship_BOG,NA())</f>
        <v>#N/A</v>
      </c>
      <c r="J202" s="39" t="e">
        <f>IF(ABS($B202-Ship_BOR_L)&lt;=0.0025,Ship_Vlsfo,NA())</f>
        <v>#N/A</v>
      </c>
      <c r="K202" s="39" t="e">
        <f>IF(ABS($B202-Ship_BorStar)&lt;=0.0025,MAX(Ship_Duty_L,0),NA())</f>
        <v>#N/A</v>
      </c>
      <c r="L202" s="39">
        <f>IF(MOD(105,20)=0,TEXT($B202,"0.0"),"")</f>
        <v/>
      </c>
    </row>
    <row r="203" spans="2:12" ht="17" customHeight="1">
      <c r="B203" s="49">
        <v>0.63</v>
      </c>
      <c r="C203" s="39">
        <f>Ship_CargoL*$B203/100</f>
        <v>17841.6</v>
      </c>
      <c r="D203" s="39">
        <f>Ship_HCap</f>
        <v>13325</v>
      </c>
      <c r="E203" s="39">
        <f>MAX(0,C203-Ship_HCap)</f>
        <v>4516.6</v>
      </c>
      <c r="F203" s="39">
        <f>Ship_Duty_L-MIN(C203,Ship_HCap)*Ship_LHV_H2/Ship_LHV_VLSFO/1000</f>
        <v>0</v>
      </c>
      <c r="G203" s="39">
        <f>IF(E203&gt;0,Ship_Duty_L-C203*Ship_LHV_H2/Ship_LHV_VLSFO/1000,NA())</f>
        <v>-13.2193170731707</v>
      </c>
      <c r="H203" s="39" t="e">
        <f>IF(ABS($B203-Ship_BorStar)&lt;=0.0025,Ship_HCap,NA())</f>
        <v>#N/A</v>
      </c>
      <c r="I203" s="39" t="e">
        <f>IF(ABS($B203-Ship_BOR_L)&lt;=0.0025,Ship_BOG,NA())</f>
        <v>#N/A</v>
      </c>
      <c r="J203" s="39" t="e">
        <f>IF(ABS($B203-Ship_BOR_L)&lt;=0.0025,Ship_Vlsfo,NA())</f>
        <v>#N/A</v>
      </c>
      <c r="K203" s="39" t="e">
        <f>IF(ABS($B203-Ship_BorStar)&lt;=0.0025,MAX(Ship_Duty_L,0),NA())</f>
        <v>#N/A</v>
      </c>
      <c r="L203" s="39">
        <f>IF(MOD(106,20)=0,TEXT($B203,"0.0"),"")</f>
        <v/>
      </c>
    </row>
    <row r="204" spans="2:12" ht="17" customHeight="1">
      <c r="B204" s="49">
        <v>0.635</v>
      </c>
      <c r="C204" s="39">
        <f>Ship_CargoL*$B204/100</f>
        <v>17983.2</v>
      </c>
      <c r="D204" s="39">
        <f>Ship_HCap</f>
        <v>13325</v>
      </c>
      <c r="E204" s="39">
        <f>MAX(0,C204-Ship_HCap)</f>
        <v>4658.2</v>
      </c>
      <c r="F204" s="39">
        <f>Ship_Duty_L-MIN(C204,Ship_HCap)*Ship_LHV_H2/Ship_LHV_VLSFO/1000</f>
        <v>0</v>
      </c>
      <c r="G204" s="39">
        <f>IF(E204&gt;0,Ship_Duty_L-C204*Ship_LHV_H2/Ship_LHV_VLSFO/1000,NA())</f>
        <v>-13.633756097561</v>
      </c>
      <c r="H204" s="39" t="e">
        <f>IF(ABS($B204-Ship_BorStar)&lt;=0.0025,Ship_HCap,NA())</f>
        <v>#N/A</v>
      </c>
      <c r="I204" s="39" t="e">
        <f>IF(ABS($B204-Ship_BOR_L)&lt;=0.0025,Ship_BOG,NA())</f>
        <v>#N/A</v>
      </c>
      <c r="J204" s="39" t="e">
        <f>IF(ABS($B204-Ship_BOR_L)&lt;=0.0025,Ship_Vlsfo,NA())</f>
        <v>#N/A</v>
      </c>
      <c r="K204" s="39" t="e">
        <f>IF(ABS($B204-Ship_BorStar)&lt;=0.0025,MAX(Ship_Duty_L,0),NA())</f>
        <v>#N/A</v>
      </c>
      <c r="L204" s="39">
        <f>IF(MOD(107,20)=0,TEXT($B204,"0.0"),"")</f>
        <v/>
      </c>
    </row>
    <row r="205" spans="2:12" ht="17" customHeight="1">
      <c r="B205" s="49">
        <v>0.64</v>
      </c>
      <c r="C205" s="39">
        <f>Ship_CargoL*$B205/100</f>
        <v>18124.8</v>
      </c>
      <c r="D205" s="39">
        <f>Ship_HCap</f>
        <v>13325</v>
      </c>
      <c r="E205" s="39">
        <f>MAX(0,C205-Ship_HCap)</f>
        <v>4799.8</v>
      </c>
      <c r="F205" s="39">
        <f>Ship_Duty_L-MIN(C205,Ship_HCap)*Ship_LHV_H2/Ship_LHV_VLSFO/1000</f>
        <v>0</v>
      </c>
      <c r="G205" s="39">
        <f>IF(E205&gt;0,Ship_Duty_L-C205*Ship_LHV_H2/Ship_LHV_VLSFO/1000,NA())</f>
        <v>-14.0481951219512</v>
      </c>
      <c r="H205" s="39" t="e">
        <f>IF(ABS($B205-Ship_BorStar)&lt;=0.0025,Ship_HCap,NA())</f>
        <v>#N/A</v>
      </c>
      <c r="I205" s="39" t="e">
        <f>IF(ABS($B205-Ship_BOR_L)&lt;=0.0025,Ship_BOG,NA())</f>
        <v>#N/A</v>
      </c>
      <c r="J205" s="39" t="e">
        <f>IF(ABS($B205-Ship_BOR_L)&lt;=0.0025,Ship_Vlsfo,NA())</f>
        <v>#N/A</v>
      </c>
      <c r="K205" s="39" t="e">
        <f>IF(ABS($B205-Ship_BorStar)&lt;=0.0025,MAX(Ship_Duty_L,0),NA())</f>
        <v>#N/A</v>
      </c>
      <c r="L205" s="39">
        <f>IF(MOD(108,20)=0,TEXT($B205,"0.0"),"")</f>
        <v/>
      </c>
    </row>
    <row r="206" spans="2:12" ht="17" customHeight="1">
      <c r="B206" s="49">
        <v>0.645</v>
      </c>
      <c r="C206" s="39">
        <f>Ship_CargoL*$B206/100</f>
        <v>18266.4</v>
      </c>
      <c r="D206" s="39">
        <f>Ship_HCap</f>
        <v>13325</v>
      </c>
      <c r="E206" s="39">
        <f>MAX(0,C206-Ship_HCap)</f>
        <v>4941.4</v>
      </c>
      <c r="F206" s="39">
        <f>Ship_Duty_L-MIN(C206,Ship_HCap)*Ship_LHV_H2/Ship_LHV_VLSFO/1000</f>
        <v>0</v>
      </c>
      <c r="G206" s="39">
        <f>IF(E206&gt;0,Ship_Duty_L-C206*Ship_LHV_H2/Ship_LHV_VLSFO/1000,NA())</f>
        <v>-14.4626341463415</v>
      </c>
      <c r="H206" s="39" t="e">
        <f>IF(ABS($B206-Ship_BorStar)&lt;=0.0025,Ship_HCap,NA())</f>
        <v>#N/A</v>
      </c>
      <c r="I206" s="39" t="e">
        <f>IF(ABS($B206-Ship_BOR_L)&lt;=0.0025,Ship_BOG,NA())</f>
        <v>#N/A</v>
      </c>
      <c r="J206" s="39" t="e">
        <f>IF(ABS($B206-Ship_BOR_L)&lt;=0.0025,Ship_Vlsfo,NA())</f>
        <v>#N/A</v>
      </c>
      <c r="K206" s="39" t="e">
        <f>IF(ABS($B206-Ship_BorStar)&lt;=0.0025,MAX(Ship_Duty_L,0),NA())</f>
        <v>#N/A</v>
      </c>
      <c r="L206" s="39">
        <f>IF(MOD(109,20)=0,TEXT($B206,"0.0"),"")</f>
        <v/>
      </c>
    </row>
    <row r="207" spans="2:12" ht="17" customHeight="1">
      <c r="B207" s="49">
        <v>0.65</v>
      </c>
      <c r="C207" s="39">
        <f>Ship_CargoL*$B207/100</f>
        <v>18408</v>
      </c>
      <c r="D207" s="39">
        <f>Ship_HCap</f>
        <v>13325</v>
      </c>
      <c r="E207" s="39">
        <f>MAX(0,C207-Ship_HCap)</f>
        <v>5083</v>
      </c>
      <c r="F207" s="39">
        <f>Ship_Duty_L-MIN(C207,Ship_HCap)*Ship_LHV_H2/Ship_LHV_VLSFO/1000</f>
        <v>0</v>
      </c>
      <c r="G207" s="39">
        <f>IF(E207&gt;0,Ship_Duty_L-C207*Ship_LHV_H2/Ship_LHV_VLSFO/1000,NA())</f>
        <v>-14.8770731707317</v>
      </c>
      <c r="H207" s="39" t="e">
        <f>IF(ABS($B207-Ship_BorStar)&lt;=0.0025,Ship_HCap,NA())</f>
        <v>#N/A</v>
      </c>
      <c r="I207" s="39" t="e">
        <f>IF(ABS($B207-Ship_BOR_L)&lt;=0.0025,Ship_BOG,NA())</f>
        <v>#N/A</v>
      </c>
      <c r="J207" s="39" t="e">
        <f>IF(ABS($B207-Ship_BOR_L)&lt;=0.0025,Ship_Vlsfo,NA())</f>
        <v>#N/A</v>
      </c>
      <c r="K207" s="39" t="e">
        <f>IF(ABS($B207-Ship_BorStar)&lt;=0.0025,MAX(Ship_Duty_L,0),NA())</f>
        <v>#N/A</v>
      </c>
      <c r="L207" s="39">
        <f>IF(MOD(110,20)=0,TEXT($B207,"0.0"),"")</f>
        <v/>
      </c>
    </row>
    <row r="208" spans="2:12" ht="17" customHeight="1">
      <c r="B208" s="49">
        <v>0.655</v>
      </c>
      <c r="C208" s="39">
        <f>Ship_CargoL*$B208/100</f>
        <v>18549.6</v>
      </c>
      <c r="D208" s="39">
        <f>Ship_HCap</f>
        <v>13325</v>
      </c>
      <c r="E208" s="39">
        <f>MAX(0,C208-Ship_HCap)</f>
        <v>5224.6</v>
      </c>
      <c r="F208" s="39">
        <f>Ship_Duty_L-MIN(C208,Ship_HCap)*Ship_LHV_H2/Ship_LHV_VLSFO/1000</f>
        <v>0</v>
      </c>
      <c r="G208" s="39">
        <f>IF(E208&gt;0,Ship_Duty_L-C208*Ship_LHV_H2/Ship_LHV_VLSFO/1000,NA())</f>
        <v>-15.2915121951219</v>
      </c>
      <c r="H208" s="39" t="e">
        <f>IF(ABS($B208-Ship_BorStar)&lt;=0.0025,Ship_HCap,NA())</f>
        <v>#N/A</v>
      </c>
      <c r="I208" s="39" t="e">
        <f>IF(ABS($B208-Ship_BOR_L)&lt;=0.0025,Ship_BOG,NA())</f>
        <v>#N/A</v>
      </c>
      <c r="J208" s="39" t="e">
        <f>IF(ABS($B208-Ship_BOR_L)&lt;=0.0025,Ship_Vlsfo,NA())</f>
        <v>#N/A</v>
      </c>
      <c r="K208" s="39" t="e">
        <f>IF(ABS($B208-Ship_BorStar)&lt;=0.0025,MAX(Ship_Duty_L,0),NA())</f>
        <v>#N/A</v>
      </c>
      <c r="L208" s="39">
        <f>IF(MOD(111,20)=0,TEXT($B208,"0.0"),"")</f>
        <v/>
      </c>
    </row>
    <row r="209" spans="2:13" ht="17" customHeight="1">
      <c r="B209" s="49">
        <v>0.66</v>
      </c>
      <c r="C209" s="39">
        <f>Ship_CargoL*$B209/100</f>
        <v>18691.2</v>
      </c>
      <c r="D209" s="39">
        <f>Ship_HCap</f>
        <v>13325</v>
      </c>
      <c r="E209" s="39">
        <f>MAX(0,C209-Ship_HCap)</f>
        <v>5366.2</v>
      </c>
      <c r="F209" s="39">
        <f>Ship_Duty_L-MIN(C209,Ship_HCap)*Ship_LHV_H2/Ship_LHV_VLSFO/1000</f>
        <v>0</v>
      </c>
      <c r="G209" s="39">
        <f>IF(E209&gt;0,Ship_Duty_L-C209*Ship_LHV_H2/Ship_LHV_VLSFO/1000,NA())</f>
        <v>-15.7059512195122</v>
      </c>
      <c r="H209" s="39" t="e">
        <f>IF(ABS($B209-Ship_BorStar)&lt;=0.0025,Ship_HCap,NA())</f>
        <v>#N/A</v>
      </c>
      <c r="I209" s="39" t="e">
        <f>IF(ABS($B209-Ship_BOR_L)&lt;=0.0025,Ship_BOG,NA())</f>
        <v>#N/A</v>
      </c>
      <c r="J209" s="39" t="e">
        <f>IF(ABS($B209-Ship_BOR_L)&lt;=0.0025,Ship_Vlsfo,NA())</f>
        <v>#N/A</v>
      </c>
      <c r="K209" s="39" t="e">
        <f>IF(ABS($B209-Ship_BorStar)&lt;=0.0025,MAX(Ship_Duty_L,0),NA())</f>
        <v>#N/A</v>
      </c>
      <c r="L209" s="39">
        <f>IF(MOD(112,20)=0,TEXT($B209,"0.0"),"")</f>
        <v/>
      </c>
    </row>
    <row r="210" spans="2:13" ht="17" customHeight="1">
      <c r="B210" s="49">
        <v>0.665</v>
      </c>
      <c r="C210" s="39">
        <f>Ship_CargoL*$B210/100</f>
        <v>18832.8</v>
      </c>
      <c r="D210" s="39">
        <f>Ship_HCap</f>
        <v>13325</v>
      </c>
      <c r="E210" s="39">
        <f>MAX(0,C210-Ship_HCap)</f>
        <v>5507.8</v>
      </c>
      <c r="F210" s="39">
        <f>Ship_Duty_L-MIN(C210,Ship_HCap)*Ship_LHV_H2/Ship_LHV_VLSFO/1000</f>
        <v>0</v>
      </c>
      <c r="G210" s="39">
        <f>IF(E210&gt;0,Ship_Duty_L-C210*Ship_LHV_H2/Ship_LHV_VLSFO/1000,NA())</f>
        <v>-16.1203902439024</v>
      </c>
      <c r="H210" s="39" t="e">
        <f>IF(ABS($B210-Ship_BorStar)&lt;=0.0025,Ship_HCap,NA())</f>
        <v>#N/A</v>
      </c>
      <c r="I210" s="39" t="e">
        <f>IF(ABS($B210-Ship_BOR_L)&lt;=0.0025,Ship_BOG,NA())</f>
        <v>#N/A</v>
      </c>
      <c r="J210" s="39" t="e">
        <f>IF(ABS($B210-Ship_BOR_L)&lt;=0.0025,Ship_Vlsfo,NA())</f>
        <v>#N/A</v>
      </c>
      <c r="K210" s="39" t="e">
        <f>IF(ABS($B210-Ship_BorStar)&lt;=0.0025,MAX(Ship_Duty_L,0),NA())</f>
        <v>#N/A</v>
      </c>
      <c r="L210" s="39">
        <f>IF(MOD(113,20)=0,TEXT($B210,"0.0"),"")</f>
        <v/>
      </c>
    </row>
    <row r="211" spans="2:13" ht="17" customHeight="1">
      <c r="B211" s="49">
        <v>0.67</v>
      </c>
      <c r="C211" s="39">
        <f>Ship_CargoL*$B211/100</f>
        <v>18974.4</v>
      </c>
      <c r="D211" s="39">
        <f>Ship_HCap</f>
        <v>13325</v>
      </c>
      <c r="E211" s="39">
        <f>MAX(0,C211-Ship_HCap)</f>
        <v>5649.4</v>
      </c>
      <c r="F211" s="39">
        <f>Ship_Duty_L-MIN(C211,Ship_HCap)*Ship_LHV_H2/Ship_LHV_VLSFO/1000</f>
        <v>0</v>
      </c>
      <c r="G211" s="39">
        <f>IF(E211&gt;0,Ship_Duty_L-C211*Ship_LHV_H2/Ship_LHV_VLSFO/1000,NA())</f>
        <v>-16.5348292682927</v>
      </c>
      <c r="H211" s="39" t="e">
        <f>IF(ABS($B211-Ship_BorStar)&lt;=0.0025,Ship_HCap,NA())</f>
        <v>#N/A</v>
      </c>
      <c r="I211" s="39" t="e">
        <f>IF(ABS($B211-Ship_BOR_L)&lt;=0.0025,Ship_BOG,NA())</f>
        <v>#N/A</v>
      </c>
      <c r="J211" s="39" t="e">
        <f>IF(ABS($B211-Ship_BOR_L)&lt;=0.0025,Ship_Vlsfo,NA())</f>
        <v>#N/A</v>
      </c>
      <c r="K211" s="39" t="e">
        <f>IF(ABS($B211-Ship_BorStar)&lt;=0.0025,MAX(Ship_Duty_L,0),NA())</f>
        <v>#N/A</v>
      </c>
      <c r="L211" s="39">
        <f>IF(MOD(114,20)=0,TEXT($B211,"0.0"),"")</f>
        <v/>
      </c>
    </row>
    <row r="212" spans="2:13" ht="17" customHeight="1">
      <c r="B212" s="49">
        <v>0.675</v>
      </c>
      <c r="C212" s="39">
        <f>Ship_CargoL*$B212/100</f>
        <v>19116</v>
      </c>
      <c r="D212" s="39">
        <f>Ship_HCap</f>
        <v>13325</v>
      </c>
      <c r="E212" s="39">
        <f>MAX(0,C212-Ship_HCap)</f>
        <v>5791</v>
      </c>
      <c r="F212" s="39">
        <f>Ship_Duty_L-MIN(C212,Ship_HCap)*Ship_LHV_H2/Ship_LHV_VLSFO/1000</f>
        <v>0</v>
      </c>
      <c r="G212" s="39">
        <f>IF(E212&gt;0,Ship_Duty_L-C212*Ship_LHV_H2/Ship_LHV_VLSFO/1000,NA())</f>
        <v>-16.9492682926829</v>
      </c>
      <c r="H212" s="39" t="e">
        <f>IF(ABS($B212-Ship_BorStar)&lt;=0.0025,Ship_HCap,NA())</f>
        <v>#N/A</v>
      </c>
      <c r="I212" s="39" t="e">
        <f>IF(ABS($B212-Ship_BOR_L)&lt;=0.0025,Ship_BOG,NA())</f>
        <v>#N/A</v>
      </c>
      <c r="J212" s="39" t="e">
        <f>IF(ABS($B212-Ship_BOR_L)&lt;=0.0025,Ship_Vlsfo,NA())</f>
        <v>#N/A</v>
      </c>
      <c r="K212" s="39" t="e">
        <f>IF(ABS($B212-Ship_BorStar)&lt;=0.0025,MAX(Ship_Duty_L,0),NA())</f>
        <v>#N/A</v>
      </c>
      <c r="L212" s="39">
        <f>IF(MOD(115,20)=0,TEXT($B212,"0.0"),"")</f>
        <v/>
      </c>
    </row>
    <row r="213" spans="2:13" ht="17" customHeight="1">
      <c r="B213" s="49">
        <v>0.68</v>
      </c>
      <c r="C213" s="39">
        <f>Ship_CargoL*$B213/100</f>
        <v>19257.6</v>
      </c>
      <c r="D213" s="39">
        <f>Ship_HCap</f>
        <v>13325</v>
      </c>
      <c r="E213" s="39">
        <f>MAX(0,C213-Ship_HCap)</f>
        <v>5932.6</v>
      </c>
      <c r="F213" s="39">
        <f>Ship_Duty_L-MIN(C213,Ship_HCap)*Ship_LHV_H2/Ship_LHV_VLSFO/1000</f>
        <v>0</v>
      </c>
      <c r="G213" s="39">
        <f>IF(E213&gt;0,Ship_Duty_L-C213*Ship_LHV_H2/Ship_LHV_VLSFO/1000,NA())</f>
        <v>-17.3637073170732</v>
      </c>
      <c r="H213" s="39" t="e">
        <f>IF(ABS($B213-Ship_BorStar)&lt;=0.0025,Ship_HCap,NA())</f>
        <v>#N/A</v>
      </c>
      <c r="I213" s="39" t="e">
        <f>IF(ABS($B213-Ship_BOR_L)&lt;=0.0025,Ship_BOG,NA())</f>
        <v>#N/A</v>
      </c>
      <c r="J213" s="39" t="e">
        <f>IF(ABS($B213-Ship_BOR_L)&lt;=0.0025,Ship_Vlsfo,NA())</f>
        <v>#N/A</v>
      </c>
      <c r="K213" s="39" t="e">
        <f>IF(ABS($B213-Ship_BorStar)&lt;=0.0025,MAX(Ship_Duty_L,0),NA())</f>
        <v>#N/A</v>
      </c>
      <c r="L213" s="39">
        <f>IF(MOD(116,20)=0,TEXT($B213,"0.0"),"")</f>
        <v/>
      </c>
    </row>
    <row r="214" spans="2:13" ht="17" customHeight="1">
      <c r="B214" s="49">
        <v>0.6850000000000001</v>
      </c>
      <c r="C214" s="39">
        <f>Ship_CargoL*$B214/100</f>
        <v>19399.2</v>
      </c>
      <c r="D214" s="39">
        <f>Ship_HCap</f>
        <v>13325</v>
      </c>
      <c r="E214" s="39">
        <f>MAX(0,C214-Ship_HCap)</f>
        <v>6074.2</v>
      </c>
      <c r="F214" s="39">
        <f>Ship_Duty_L-MIN(C214,Ship_HCap)*Ship_LHV_H2/Ship_LHV_VLSFO/1000</f>
        <v>0</v>
      </c>
      <c r="G214" s="39">
        <f>IF(E214&gt;0,Ship_Duty_L-C214*Ship_LHV_H2/Ship_LHV_VLSFO/1000,NA())</f>
        <v>-17.7781463414634</v>
      </c>
      <c r="H214" s="39" t="e">
        <f>IF(ABS($B214-Ship_BorStar)&lt;=0.0025,Ship_HCap,NA())</f>
        <v>#N/A</v>
      </c>
      <c r="I214" s="39" t="e">
        <f>IF(ABS($B214-Ship_BOR_L)&lt;=0.0025,Ship_BOG,NA())</f>
        <v>#N/A</v>
      </c>
      <c r="J214" s="39" t="e">
        <f>IF(ABS($B214-Ship_BOR_L)&lt;=0.0025,Ship_Vlsfo,NA())</f>
        <v>#N/A</v>
      </c>
      <c r="K214" s="39" t="e">
        <f>IF(ABS($B214-Ship_BorStar)&lt;=0.0025,MAX(Ship_Duty_L,0),NA())</f>
        <v>#N/A</v>
      </c>
      <c r="L214" s="39">
        <f>IF(MOD(117,20)=0,TEXT($B214,"0.0"),"")</f>
        <v/>
      </c>
    </row>
    <row r="215" spans="2:13" ht="17" customHeight="1">
      <c r="B215" s="49">
        <v>0.6899999999999999</v>
      </c>
      <c r="C215" s="39">
        <f>Ship_CargoL*$B215/100</f>
        <v>19540.8</v>
      </c>
      <c r="D215" s="39">
        <f>Ship_HCap</f>
        <v>13325</v>
      </c>
      <c r="E215" s="39">
        <f>MAX(0,C215-Ship_HCap)</f>
        <v>6215.8</v>
      </c>
      <c r="F215" s="39">
        <f>Ship_Duty_L-MIN(C215,Ship_HCap)*Ship_LHV_H2/Ship_LHV_VLSFO/1000</f>
        <v>0</v>
      </c>
      <c r="G215" s="39">
        <f>IF(E215&gt;0,Ship_Duty_L-C215*Ship_LHV_H2/Ship_LHV_VLSFO/1000,NA())</f>
        <v>-18.1925853658537</v>
      </c>
      <c r="H215" s="39" t="e">
        <f>IF(ABS($B215-Ship_BorStar)&lt;=0.0025,Ship_HCap,NA())</f>
        <v>#N/A</v>
      </c>
      <c r="I215" s="39" t="e">
        <f>IF(ABS($B215-Ship_BOR_L)&lt;=0.0025,Ship_BOG,NA())</f>
        <v>#N/A</v>
      </c>
      <c r="J215" s="39" t="e">
        <f>IF(ABS($B215-Ship_BOR_L)&lt;=0.0025,Ship_Vlsfo,NA())</f>
        <v>#N/A</v>
      </c>
      <c r="K215" s="39" t="e">
        <f>IF(ABS($B215-Ship_BorStar)&lt;=0.0025,MAX(Ship_Duty_L,0),NA())</f>
        <v>#N/A</v>
      </c>
      <c r="L215" s="39">
        <f>IF(MOD(118,20)=0,TEXT($B215,"0.0"),"")</f>
        <v/>
      </c>
    </row>
    <row r="216" spans="2:13" ht="17" customHeight="1">
      <c r="B216" s="49">
        <v>0.695</v>
      </c>
      <c r="C216" s="39">
        <f>Ship_CargoL*$B216/100</f>
        <v>19682.4</v>
      </c>
      <c r="D216" s="39">
        <f>Ship_HCap</f>
        <v>13325</v>
      </c>
      <c r="E216" s="39">
        <f>MAX(0,C216-Ship_HCap)</f>
        <v>6357.4</v>
      </c>
      <c r="F216" s="39">
        <f>Ship_Duty_L-MIN(C216,Ship_HCap)*Ship_LHV_H2/Ship_LHV_VLSFO/1000</f>
        <v>0</v>
      </c>
      <c r="G216" s="39">
        <f>IF(E216&gt;0,Ship_Duty_L-C216*Ship_LHV_H2/Ship_LHV_VLSFO/1000,NA())</f>
        <v>-18.6070243902439</v>
      </c>
      <c r="H216" s="39" t="e">
        <f>IF(ABS($B216-Ship_BorStar)&lt;=0.0025,Ship_HCap,NA())</f>
        <v>#N/A</v>
      </c>
      <c r="I216" s="39" t="e">
        <f>IF(ABS($B216-Ship_BOR_L)&lt;=0.0025,Ship_BOG,NA())</f>
        <v>#N/A</v>
      </c>
      <c r="J216" s="39" t="e">
        <f>IF(ABS($B216-Ship_BOR_L)&lt;=0.0025,Ship_Vlsfo,NA())</f>
        <v>#N/A</v>
      </c>
      <c r="K216" s="39" t="e">
        <f>IF(ABS($B216-Ship_BorStar)&lt;=0.0025,MAX(Ship_Duty_L,0),NA())</f>
        <v>#N/A</v>
      </c>
      <c r="L216" s="39">
        <f>IF(MOD(119,20)=0,TEXT($B216,"0.0"),"")</f>
        <v/>
      </c>
    </row>
    <row r="217" spans="2:13" ht="17" customHeight="1">
      <c r="B217" s="49">
        <v>0.7</v>
      </c>
      <c r="C217" s="39">
        <f>Ship_CargoL*$B217/100</f>
        <v>19824</v>
      </c>
      <c r="D217" s="39">
        <f>Ship_HCap</f>
        <v>13325</v>
      </c>
      <c r="E217" s="39">
        <f>MAX(0,C217-Ship_HCap)</f>
        <v>6499</v>
      </c>
      <c r="F217" s="39">
        <f>Ship_Duty_L-MIN(C217,Ship_HCap)*Ship_LHV_H2/Ship_LHV_VLSFO/1000</f>
        <v>0</v>
      </c>
      <c r="G217" s="39">
        <f>IF(E217&gt;0,Ship_Duty_L-C217*Ship_LHV_H2/Ship_LHV_VLSFO/1000,NA())</f>
        <v>-19.0214634146341</v>
      </c>
      <c r="H217" s="39" t="e">
        <f>IF(ABS($B217-Ship_BorStar)&lt;=0.0025,Ship_HCap,NA())</f>
        <v>#N/A</v>
      </c>
      <c r="I217" s="39" t="e">
        <f>IF(ABS($B217-Ship_BOR_L)&lt;=0.0025,Ship_BOG,NA())</f>
        <v>#N/A</v>
      </c>
      <c r="J217" s="39" t="e">
        <f>IF(ABS($B217-Ship_BOR_L)&lt;=0.0025,Ship_Vlsfo,NA())</f>
        <v>#N/A</v>
      </c>
      <c r="K217" s="39" t="e">
        <f>IF(ABS($B217-Ship_BorStar)&lt;=0.0025,MAX(Ship_Duty_L,0),NA())</f>
        <v>#N/A</v>
      </c>
      <c r="L217" s="39" t="str">
        <f>IF(MOD(120,20)=0,TEXT($B217,"0.0"),"")</f>
        <v>0.7</v>
      </c>
    </row>
    <row r="220" spans="2:13" ht="17" customHeight="1">
      <c r="B220" s="7" t="s">
        <v>117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spans="2:13" ht="42" customHeight="1">
      <c r="B221" s="24" t="s">
        <v>118</v>
      </c>
      <c r="C221" s="25" t="s">
        <v>119</v>
      </c>
      <c r="D221" s="25" t="s">
        <v>120</v>
      </c>
      <c r="E221" s="25" t="s">
        <v>121</v>
      </c>
      <c r="F221" s="25" t="s">
        <v>122</v>
      </c>
      <c r="G221" s="25" t="s">
        <v>123</v>
      </c>
      <c r="H221" s="25" t="s">
        <v>116</v>
      </c>
    </row>
    <row r="222" spans="2:13" ht="17" customHeight="1">
      <c r="B222" s="36">
        <v>0</v>
      </c>
      <c r="C222" s="38">
        <f>Ship_BOG*$B222+Ship_FixedL</f>
        <v>3506.9268292683</v>
      </c>
      <c r="D222" s="38">
        <f>Ship_CostNcmp</f>
        <v>38593.5483870968</v>
      </c>
      <c r="E222" s="38" t="e">
        <f>IF(ABS($B222-Ship_P_H2)&lt;=0.025,C222,NA())</f>
        <v>#N/A</v>
      </c>
      <c r="F222" s="38" t="e">
        <f>IF(ISNUMBER(Ship_BE),IF(ABS($B222-Ship_BE)&lt;=0.025,Ship_CostNcmp,NA()),NA())</f>
        <v>#N/A</v>
      </c>
      <c r="G222" s="38" t="e">
        <f>IF(ABS($B222-Ship_SW)&lt;=0.025,MAX(Ship_BOG*10+Ship_FixedL,Ship_CostNcmp),NA())</f>
        <v>#N/A</v>
      </c>
      <c r="H222" s="39" t="str">
        <f>IF(MOD(0,20)=0,TEXT($B222,"0"),"")</f>
        <v>0</v>
      </c>
    </row>
    <row r="223" spans="2:13" ht="17" customHeight="1">
      <c r="B223" s="36">
        <v>0.05</v>
      </c>
      <c r="C223" s="38">
        <f>Ship_BOG*$B223+Ship_FixedL</f>
        <v>4073.3268292683</v>
      </c>
      <c r="D223" s="38">
        <f>Ship_CostNcmp</f>
        <v>38593.5483870968</v>
      </c>
      <c r="E223" s="38" t="e">
        <f>IF(ABS($B223-Ship_P_H2)&lt;=0.025,C223,NA())</f>
        <v>#N/A</v>
      </c>
      <c r="F223" s="38" t="e">
        <f>IF(ISNUMBER(Ship_BE),IF(ABS($B223-Ship_BE)&lt;=0.025,Ship_CostNcmp,NA()),NA())</f>
        <v>#N/A</v>
      </c>
      <c r="G223" s="38" t="e">
        <f>IF(ABS($B223-Ship_SW)&lt;=0.025,MAX(Ship_BOG*10+Ship_FixedL,Ship_CostNcmp),NA())</f>
        <v>#N/A</v>
      </c>
      <c r="H223" s="39">
        <f>IF(MOD(1,20)=0,TEXT($B223,"0"),"")</f>
        <v/>
      </c>
    </row>
    <row r="224" spans="2:13" ht="17" customHeight="1">
      <c r="B224" s="36">
        <v>0.1</v>
      </c>
      <c r="C224" s="38">
        <f>Ship_BOG*$B224+Ship_FixedL</f>
        <v>4639.7268292683</v>
      </c>
      <c r="D224" s="38">
        <f>Ship_CostNcmp</f>
        <v>38593.5483870968</v>
      </c>
      <c r="E224" s="38" t="e">
        <f>IF(ABS($B224-Ship_P_H2)&lt;=0.025,C224,NA())</f>
        <v>#N/A</v>
      </c>
      <c r="F224" s="38" t="e">
        <f>IF(ISNUMBER(Ship_BE),IF(ABS($B224-Ship_BE)&lt;=0.025,Ship_CostNcmp,NA()),NA())</f>
        <v>#N/A</v>
      </c>
      <c r="G224" s="38" t="e">
        <f>IF(ABS($B224-Ship_SW)&lt;=0.025,MAX(Ship_BOG*10+Ship_FixedL,Ship_CostNcmp),NA())</f>
        <v>#N/A</v>
      </c>
      <c r="H224" s="39">
        <f>IF(MOD(2,20)=0,TEXT($B224,"0"),"")</f>
        <v/>
      </c>
    </row>
    <row r="225" spans="2:8" ht="17" customHeight="1">
      <c r="B225" s="36">
        <v>0.15</v>
      </c>
      <c r="C225" s="38">
        <f>Ship_BOG*$B225+Ship_FixedL</f>
        <v>5206.1268292683</v>
      </c>
      <c r="D225" s="38">
        <f>Ship_CostNcmp</f>
        <v>38593.5483870968</v>
      </c>
      <c r="E225" s="38" t="e">
        <f>IF(ABS($B225-Ship_P_H2)&lt;=0.025,C225,NA())</f>
        <v>#N/A</v>
      </c>
      <c r="F225" s="38" t="e">
        <f>IF(ISNUMBER(Ship_BE),IF(ABS($B225-Ship_BE)&lt;=0.025,Ship_CostNcmp,NA()),NA())</f>
        <v>#N/A</v>
      </c>
      <c r="G225" s="38" t="e">
        <f>IF(ABS($B225-Ship_SW)&lt;=0.025,MAX(Ship_BOG*10+Ship_FixedL,Ship_CostNcmp),NA())</f>
        <v>#N/A</v>
      </c>
      <c r="H225" s="39">
        <f>IF(MOD(3,20)=0,TEXT($B225,"0"),"")</f>
        <v/>
      </c>
    </row>
    <row r="226" spans="2:8" ht="17" customHeight="1">
      <c r="B226" s="36">
        <v>0.2</v>
      </c>
      <c r="C226" s="38">
        <f>Ship_BOG*$B226+Ship_FixedL</f>
        <v>5772.5268292683</v>
      </c>
      <c r="D226" s="38">
        <f>Ship_CostNcmp</f>
        <v>38593.5483870968</v>
      </c>
      <c r="E226" s="38" t="e">
        <f>IF(ABS($B226-Ship_P_H2)&lt;=0.025,C226,NA())</f>
        <v>#N/A</v>
      </c>
      <c r="F226" s="38" t="e">
        <f>IF(ISNUMBER(Ship_BE),IF(ABS($B226-Ship_BE)&lt;=0.025,Ship_CostNcmp,NA()),NA())</f>
        <v>#N/A</v>
      </c>
      <c r="G226" s="38" t="e">
        <f>IF(ABS($B226-Ship_SW)&lt;=0.025,MAX(Ship_BOG*10+Ship_FixedL,Ship_CostNcmp),NA())</f>
        <v>#N/A</v>
      </c>
      <c r="H226" s="39">
        <f>IF(MOD(4,20)=0,TEXT($B226,"0"),"")</f>
        <v/>
      </c>
    </row>
    <row r="227" spans="2:8" ht="17" customHeight="1">
      <c r="B227" s="36">
        <v>0.25</v>
      </c>
      <c r="C227" s="38">
        <f>Ship_BOG*$B227+Ship_FixedL</f>
        <v>6338.9268292683</v>
      </c>
      <c r="D227" s="38">
        <f>Ship_CostNcmp</f>
        <v>38593.5483870968</v>
      </c>
      <c r="E227" s="38" t="e">
        <f>IF(ABS($B227-Ship_P_H2)&lt;=0.025,C227,NA())</f>
        <v>#N/A</v>
      </c>
      <c r="F227" s="38" t="e">
        <f>IF(ISNUMBER(Ship_BE),IF(ABS($B227-Ship_BE)&lt;=0.025,Ship_CostNcmp,NA()),NA())</f>
        <v>#N/A</v>
      </c>
      <c r="G227" s="38" t="e">
        <f>IF(ABS($B227-Ship_SW)&lt;=0.025,MAX(Ship_BOG*10+Ship_FixedL,Ship_CostNcmp),NA())</f>
        <v>#N/A</v>
      </c>
      <c r="H227" s="39">
        <f>IF(MOD(5,20)=0,TEXT($B227,"0"),"")</f>
        <v/>
      </c>
    </row>
    <row r="228" spans="2:8" ht="17" customHeight="1">
      <c r="B228" s="36">
        <v>0.3</v>
      </c>
      <c r="C228" s="38">
        <f>Ship_BOG*$B228+Ship_FixedL</f>
        <v>6905.3268292683</v>
      </c>
      <c r="D228" s="38">
        <f>Ship_CostNcmp</f>
        <v>38593.5483870968</v>
      </c>
      <c r="E228" s="38" t="e">
        <f>IF(ABS($B228-Ship_P_H2)&lt;=0.025,C228,NA())</f>
        <v>#N/A</v>
      </c>
      <c r="F228" s="38" t="e">
        <f>IF(ISNUMBER(Ship_BE),IF(ABS($B228-Ship_BE)&lt;=0.025,Ship_CostNcmp,NA()),NA())</f>
        <v>#N/A</v>
      </c>
      <c r="G228" s="38" t="e">
        <f>IF(ABS($B228-Ship_SW)&lt;=0.025,MAX(Ship_BOG*10+Ship_FixedL,Ship_CostNcmp),NA())</f>
        <v>#N/A</v>
      </c>
      <c r="H228" s="39">
        <f>IF(MOD(6,20)=0,TEXT($B228,"0"),"")</f>
        <v/>
      </c>
    </row>
    <row r="229" spans="2:8" ht="17" customHeight="1">
      <c r="B229" s="36">
        <v>0.35</v>
      </c>
      <c r="C229" s="38">
        <f>Ship_BOG*$B229+Ship_FixedL</f>
        <v>7471.7268292683</v>
      </c>
      <c r="D229" s="38">
        <f>Ship_CostNcmp</f>
        <v>38593.5483870968</v>
      </c>
      <c r="E229" s="38" t="e">
        <f>IF(ABS($B229-Ship_P_H2)&lt;=0.025,C229,NA())</f>
        <v>#N/A</v>
      </c>
      <c r="F229" s="38" t="e">
        <f>IF(ISNUMBER(Ship_BE),IF(ABS($B229-Ship_BE)&lt;=0.025,Ship_CostNcmp,NA()),NA())</f>
        <v>#N/A</v>
      </c>
      <c r="G229" s="38" t="e">
        <f>IF(ABS($B229-Ship_SW)&lt;=0.025,MAX(Ship_BOG*10+Ship_FixedL,Ship_CostNcmp),NA())</f>
        <v>#N/A</v>
      </c>
      <c r="H229" s="39">
        <f>IF(MOD(7,20)=0,TEXT($B229,"0"),"")</f>
        <v/>
      </c>
    </row>
    <row r="230" spans="2:8" ht="17" customHeight="1">
      <c r="B230" s="36">
        <v>0.4</v>
      </c>
      <c r="C230" s="38">
        <f>Ship_BOG*$B230+Ship_FixedL</f>
        <v>8038.1268292683</v>
      </c>
      <c r="D230" s="38">
        <f>Ship_CostNcmp</f>
        <v>38593.5483870968</v>
      </c>
      <c r="E230" s="38" t="e">
        <f>IF(ABS($B230-Ship_P_H2)&lt;=0.025,C230,NA())</f>
        <v>#N/A</v>
      </c>
      <c r="F230" s="38" t="e">
        <f>IF(ISNUMBER(Ship_BE),IF(ABS($B230-Ship_BE)&lt;=0.025,Ship_CostNcmp,NA()),NA())</f>
        <v>#N/A</v>
      </c>
      <c r="G230" s="38" t="e">
        <f>IF(ABS($B230-Ship_SW)&lt;=0.025,MAX(Ship_BOG*10+Ship_FixedL,Ship_CostNcmp),NA())</f>
        <v>#N/A</v>
      </c>
      <c r="H230" s="39">
        <f>IF(MOD(8,20)=0,TEXT($B230,"0"),"")</f>
        <v/>
      </c>
    </row>
    <row r="231" spans="2:8" ht="17" customHeight="1">
      <c r="B231" s="36">
        <v>0.45</v>
      </c>
      <c r="C231" s="38">
        <f>Ship_BOG*$B231+Ship_FixedL</f>
        <v>8604.5268292683</v>
      </c>
      <c r="D231" s="38">
        <f>Ship_CostNcmp</f>
        <v>38593.5483870968</v>
      </c>
      <c r="E231" s="38" t="e">
        <f>IF(ABS($B231-Ship_P_H2)&lt;=0.025,C231,NA())</f>
        <v>#N/A</v>
      </c>
      <c r="F231" s="38" t="e">
        <f>IF(ISNUMBER(Ship_BE),IF(ABS($B231-Ship_BE)&lt;=0.025,Ship_CostNcmp,NA()),NA())</f>
        <v>#N/A</v>
      </c>
      <c r="G231" s="38" t="e">
        <f>IF(ABS($B231-Ship_SW)&lt;=0.025,MAX(Ship_BOG*10+Ship_FixedL,Ship_CostNcmp),NA())</f>
        <v>#N/A</v>
      </c>
      <c r="H231" s="39">
        <f>IF(MOD(9,20)=0,TEXT($B231,"0"),"")</f>
        <v/>
      </c>
    </row>
    <row r="232" spans="2:8" ht="17" customHeight="1">
      <c r="B232" s="36">
        <v>0.5</v>
      </c>
      <c r="C232" s="38">
        <f>Ship_BOG*$B232+Ship_FixedL</f>
        <v>9170.9268292683</v>
      </c>
      <c r="D232" s="38">
        <f>Ship_CostNcmp</f>
        <v>38593.5483870968</v>
      </c>
      <c r="E232" s="38" t="e">
        <f>IF(ABS($B232-Ship_P_H2)&lt;=0.025,C232,NA())</f>
        <v>#N/A</v>
      </c>
      <c r="F232" s="38" t="e">
        <f>IF(ISNUMBER(Ship_BE),IF(ABS($B232-Ship_BE)&lt;=0.025,Ship_CostNcmp,NA()),NA())</f>
        <v>#N/A</v>
      </c>
      <c r="G232" s="38" t="e">
        <f>IF(ABS($B232-Ship_SW)&lt;=0.025,MAX(Ship_BOG*10+Ship_FixedL,Ship_CostNcmp),NA())</f>
        <v>#N/A</v>
      </c>
      <c r="H232" s="39">
        <f>IF(MOD(10,20)=0,TEXT($B232,"0"),"")</f>
        <v/>
      </c>
    </row>
    <row r="233" spans="2:8" ht="17" customHeight="1">
      <c r="B233" s="36">
        <v>0.55</v>
      </c>
      <c r="C233" s="38">
        <f>Ship_BOG*$B233+Ship_FixedL</f>
        <v>9737.3268292683</v>
      </c>
      <c r="D233" s="38">
        <f>Ship_CostNcmp</f>
        <v>38593.5483870968</v>
      </c>
      <c r="E233" s="38" t="e">
        <f>IF(ABS($B233-Ship_P_H2)&lt;=0.025,C233,NA())</f>
        <v>#N/A</v>
      </c>
      <c r="F233" s="38" t="e">
        <f>IF(ISNUMBER(Ship_BE),IF(ABS($B233-Ship_BE)&lt;=0.025,Ship_CostNcmp,NA()),NA())</f>
        <v>#N/A</v>
      </c>
      <c r="G233" s="38" t="e">
        <f>IF(ABS($B233-Ship_SW)&lt;=0.025,MAX(Ship_BOG*10+Ship_FixedL,Ship_CostNcmp),NA())</f>
        <v>#N/A</v>
      </c>
      <c r="H233" s="39">
        <f>IF(MOD(11,20)=0,TEXT($B233,"0"),"")</f>
        <v/>
      </c>
    </row>
    <row r="234" spans="2:8" ht="17" customHeight="1">
      <c r="B234" s="36">
        <v>0.6</v>
      </c>
      <c r="C234" s="38">
        <f>Ship_BOG*$B234+Ship_FixedL</f>
        <v>10303.7268292683</v>
      </c>
      <c r="D234" s="38">
        <f>Ship_CostNcmp</f>
        <v>38593.5483870968</v>
      </c>
      <c r="E234" s="38" t="e">
        <f>IF(ABS($B234-Ship_P_H2)&lt;=0.025,C234,NA())</f>
        <v>#N/A</v>
      </c>
      <c r="F234" s="38" t="e">
        <f>IF(ISNUMBER(Ship_BE),IF(ABS($B234-Ship_BE)&lt;=0.025,Ship_CostNcmp,NA()),NA())</f>
        <v>#N/A</v>
      </c>
      <c r="G234" s="38" t="e">
        <f>IF(ABS($B234-Ship_SW)&lt;=0.025,MAX(Ship_BOG*10+Ship_FixedL,Ship_CostNcmp),NA())</f>
        <v>#N/A</v>
      </c>
      <c r="H234" s="39">
        <f>IF(MOD(12,20)=0,TEXT($B234,"0"),"")</f>
        <v/>
      </c>
    </row>
    <row r="235" spans="2:8" ht="17" customHeight="1">
      <c r="B235" s="36">
        <v>0.65</v>
      </c>
      <c r="C235" s="38">
        <f>Ship_BOG*$B235+Ship_FixedL</f>
        <v>10870.1268292683</v>
      </c>
      <c r="D235" s="38">
        <f>Ship_CostNcmp</f>
        <v>38593.5483870968</v>
      </c>
      <c r="E235" s="38" t="e">
        <f>IF(ABS($B235-Ship_P_H2)&lt;=0.025,C235,NA())</f>
        <v>#N/A</v>
      </c>
      <c r="F235" s="38" t="e">
        <f>IF(ISNUMBER(Ship_BE),IF(ABS($B235-Ship_BE)&lt;=0.025,Ship_CostNcmp,NA()),NA())</f>
        <v>#N/A</v>
      </c>
      <c r="G235" s="38" t="e">
        <f>IF(ABS($B235-Ship_SW)&lt;=0.025,MAX(Ship_BOG*10+Ship_FixedL,Ship_CostNcmp),NA())</f>
        <v>#N/A</v>
      </c>
      <c r="H235" s="39">
        <f>IF(MOD(13,20)=0,TEXT($B235,"0"),"")</f>
        <v/>
      </c>
    </row>
    <row r="236" spans="2:8" ht="17" customHeight="1">
      <c r="B236" s="36">
        <v>0.7</v>
      </c>
      <c r="C236" s="38">
        <f>Ship_BOG*$B236+Ship_FixedL</f>
        <v>11436.5268292683</v>
      </c>
      <c r="D236" s="38">
        <f>Ship_CostNcmp</f>
        <v>38593.5483870968</v>
      </c>
      <c r="E236" s="38" t="e">
        <f>IF(ABS($B236-Ship_P_H2)&lt;=0.025,C236,NA())</f>
        <v>#N/A</v>
      </c>
      <c r="F236" s="38" t="e">
        <f>IF(ISNUMBER(Ship_BE),IF(ABS($B236-Ship_BE)&lt;=0.025,Ship_CostNcmp,NA()),NA())</f>
        <v>#N/A</v>
      </c>
      <c r="G236" s="38" t="e">
        <f>IF(ABS($B236-Ship_SW)&lt;=0.025,MAX(Ship_BOG*10+Ship_FixedL,Ship_CostNcmp),NA())</f>
        <v>#N/A</v>
      </c>
      <c r="H236" s="39">
        <f>IF(MOD(14,20)=0,TEXT($B236,"0"),"")</f>
        <v/>
      </c>
    </row>
    <row r="237" spans="2:8" ht="17" customHeight="1">
      <c r="B237" s="36">
        <v>0.75</v>
      </c>
      <c r="C237" s="38">
        <f>Ship_BOG*$B237+Ship_FixedL</f>
        <v>12002.9268292683</v>
      </c>
      <c r="D237" s="38">
        <f>Ship_CostNcmp</f>
        <v>38593.5483870968</v>
      </c>
      <c r="E237" s="38" t="e">
        <f>IF(ABS($B237-Ship_P_H2)&lt;=0.025,C237,NA())</f>
        <v>#N/A</v>
      </c>
      <c r="F237" s="38" t="e">
        <f>IF(ISNUMBER(Ship_BE),IF(ABS($B237-Ship_BE)&lt;=0.025,Ship_CostNcmp,NA()),NA())</f>
        <v>#N/A</v>
      </c>
      <c r="G237" s="38" t="e">
        <f>IF(ABS($B237-Ship_SW)&lt;=0.025,MAX(Ship_BOG*10+Ship_FixedL,Ship_CostNcmp),NA())</f>
        <v>#N/A</v>
      </c>
      <c r="H237" s="39">
        <f>IF(MOD(15,20)=0,TEXT($B237,"0"),"")</f>
        <v/>
      </c>
    </row>
    <row r="238" spans="2:8" ht="17" customHeight="1">
      <c r="B238" s="36">
        <v>0.8</v>
      </c>
      <c r="C238" s="38">
        <f>Ship_BOG*$B238+Ship_FixedL</f>
        <v>12569.3268292683</v>
      </c>
      <c r="D238" s="38">
        <f>Ship_CostNcmp</f>
        <v>38593.5483870968</v>
      </c>
      <c r="E238" s="38" t="e">
        <f>IF(ABS($B238-Ship_P_H2)&lt;=0.025,C238,NA())</f>
        <v>#N/A</v>
      </c>
      <c r="F238" s="38" t="e">
        <f>IF(ISNUMBER(Ship_BE),IF(ABS($B238-Ship_BE)&lt;=0.025,Ship_CostNcmp,NA()),NA())</f>
        <v>#N/A</v>
      </c>
      <c r="G238" s="38" t="e">
        <f>IF(ABS($B238-Ship_SW)&lt;=0.025,MAX(Ship_BOG*10+Ship_FixedL,Ship_CostNcmp),NA())</f>
        <v>#N/A</v>
      </c>
      <c r="H238" s="39">
        <f>IF(MOD(16,20)=0,TEXT($B238,"0"),"")</f>
        <v/>
      </c>
    </row>
    <row r="239" spans="2:8" ht="17" customHeight="1">
      <c r="B239" s="36">
        <v>0.85</v>
      </c>
      <c r="C239" s="38">
        <f>Ship_BOG*$B239+Ship_FixedL</f>
        <v>13135.7268292683</v>
      </c>
      <c r="D239" s="38">
        <f>Ship_CostNcmp</f>
        <v>38593.5483870968</v>
      </c>
      <c r="E239" s="38" t="e">
        <f>IF(ABS($B239-Ship_P_H2)&lt;=0.025,C239,NA())</f>
        <v>#N/A</v>
      </c>
      <c r="F239" s="38" t="e">
        <f>IF(ISNUMBER(Ship_BE),IF(ABS($B239-Ship_BE)&lt;=0.025,Ship_CostNcmp,NA()),NA())</f>
        <v>#N/A</v>
      </c>
      <c r="G239" s="38" t="e">
        <f>IF(ABS($B239-Ship_SW)&lt;=0.025,MAX(Ship_BOG*10+Ship_FixedL,Ship_CostNcmp),NA())</f>
        <v>#N/A</v>
      </c>
      <c r="H239" s="39">
        <f>IF(MOD(17,20)=0,TEXT($B239,"0"),"")</f>
        <v/>
      </c>
    </row>
    <row r="240" spans="2:8" ht="17" customHeight="1">
      <c r="B240" s="36">
        <v>0.9</v>
      </c>
      <c r="C240" s="38">
        <f>Ship_BOG*$B240+Ship_FixedL</f>
        <v>13702.1268292683</v>
      </c>
      <c r="D240" s="38">
        <f>Ship_CostNcmp</f>
        <v>38593.5483870968</v>
      </c>
      <c r="E240" s="38" t="e">
        <f>IF(ABS($B240-Ship_P_H2)&lt;=0.025,C240,NA())</f>
        <v>#N/A</v>
      </c>
      <c r="F240" s="38" t="e">
        <f>IF(ISNUMBER(Ship_BE),IF(ABS($B240-Ship_BE)&lt;=0.025,Ship_CostNcmp,NA()),NA())</f>
        <v>#N/A</v>
      </c>
      <c r="G240" s="38" t="e">
        <f>IF(ABS($B240-Ship_SW)&lt;=0.025,MAX(Ship_BOG*10+Ship_FixedL,Ship_CostNcmp),NA())</f>
        <v>#N/A</v>
      </c>
      <c r="H240" s="39">
        <f>IF(MOD(18,20)=0,TEXT($B240,"0"),"")</f>
        <v/>
      </c>
    </row>
    <row r="241" spans="2:8" ht="17" customHeight="1">
      <c r="B241" s="36">
        <v>0.95</v>
      </c>
      <c r="C241" s="38">
        <f>Ship_BOG*$B241+Ship_FixedL</f>
        <v>14268.5268292683</v>
      </c>
      <c r="D241" s="38">
        <f>Ship_CostNcmp</f>
        <v>38593.5483870968</v>
      </c>
      <c r="E241" s="38" t="e">
        <f>IF(ABS($B241-Ship_P_H2)&lt;=0.025,C241,NA())</f>
        <v>#N/A</v>
      </c>
      <c r="F241" s="38" t="e">
        <f>IF(ISNUMBER(Ship_BE),IF(ABS($B241-Ship_BE)&lt;=0.025,Ship_CostNcmp,NA()),NA())</f>
        <v>#N/A</v>
      </c>
      <c r="G241" s="38" t="e">
        <f>IF(ABS($B241-Ship_SW)&lt;=0.025,MAX(Ship_BOG*10+Ship_FixedL,Ship_CostNcmp),NA())</f>
        <v>#N/A</v>
      </c>
      <c r="H241" s="39">
        <f>IF(MOD(19,20)=0,TEXT($B241,"0"),"")</f>
        <v/>
      </c>
    </row>
    <row r="242" spans="2:8" ht="17" customHeight="1">
      <c r="B242" s="36">
        <v>1</v>
      </c>
      <c r="C242" s="38">
        <f>Ship_BOG*$B242+Ship_FixedL</f>
        <v>14834.9268292683</v>
      </c>
      <c r="D242" s="38">
        <f>Ship_CostNcmp</f>
        <v>38593.5483870968</v>
      </c>
      <c r="E242" s="38" t="e">
        <f>IF(ABS($B242-Ship_P_H2)&lt;=0.025,C242,NA())</f>
        <v>#N/A</v>
      </c>
      <c r="F242" s="38" t="e">
        <f>IF(ISNUMBER(Ship_BE),IF(ABS($B242-Ship_BE)&lt;=0.025,Ship_CostNcmp,NA()),NA())</f>
        <v>#N/A</v>
      </c>
      <c r="G242" s="38" t="e">
        <f>IF(ABS($B242-Ship_SW)&lt;=0.025,MAX(Ship_BOG*10+Ship_FixedL,Ship_CostNcmp),NA())</f>
        <v>#N/A</v>
      </c>
      <c r="H242" s="39" t="str">
        <f>IF(MOD(20,20)=0,TEXT($B242,"0"),"")</f>
        <v>1</v>
      </c>
    </row>
    <row r="243" spans="2:8" ht="17" customHeight="1">
      <c r="B243" s="36">
        <v>1.05</v>
      </c>
      <c r="C243" s="38">
        <f>Ship_BOG*$B243+Ship_FixedL</f>
        <v>15401.3268292683</v>
      </c>
      <c r="D243" s="38">
        <f>Ship_CostNcmp</f>
        <v>38593.5483870968</v>
      </c>
      <c r="E243" s="38" t="e">
        <f>IF(ABS($B243-Ship_P_H2)&lt;=0.025,C243,NA())</f>
        <v>#N/A</v>
      </c>
      <c r="F243" s="38" t="e">
        <f>IF(ISNUMBER(Ship_BE),IF(ABS($B243-Ship_BE)&lt;=0.025,Ship_CostNcmp,NA()),NA())</f>
        <v>#N/A</v>
      </c>
      <c r="G243" s="38" t="e">
        <f>IF(ABS($B243-Ship_SW)&lt;=0.025,MAX(Ship_BOG*10+Ship_FixedL,Ship_CostNcmp),NA())</f>
        <v>#N/A</v>
      </c>
      <c r="H243" s="39">
        <f>IF(MOD(21,20)=0,TEXT($B243,"0"),"")</f>
        <v/>
      </c>
    </row>
    <row r="244" spans="2:8" ht="17" customHeight="1">
      <c r="B244" s="36">
        <v>1.1</v>
      </c>
      <c r="C244" s="38">
        <f>Ship_BOG*$B244+Ship_FixedL</f>
        <v>15967.7268292683</v>
      </c>
      <c r="D244" s="38">
        <f>Ship_CostNcmp</f>
        <v>38593.5483870968</v>
      </c>
      <c r="E244" s="38" t="e">
        <f>IF(ABS($B244-Ship_P_H2)&lt;=0.025,C244,NA())</f>
        <v>#N/A</v>
      </c>
      <c r="F244" s="38" t="e">
        <f>IF(ISNUMBER(Ship_BE),IF(ABS($B244-Ship_BE)&lt;=0.025,Ship_CostNcmp,NA()),NA())</f>
        <v>#N/A</v>
      </c>
      <c r="G244" s="38" t="e">
        <f>IF(ABS($B244-Ship_SW)&lt;=0.025,MAX(Ship_BOG*10+Ship_FixedL,Ship_CostNcmp),NA())</f>
        <v>#N/A</v>
      </c>
      <c r="H244" s="39">
        <f>IF(MOD(22,20)=0,TEXT($B244,"0"),"")</f>
        <v/>
      </c>
    </row>
    <row r="245" spans="2:8" ht="17" customHeight="1">
      <c r="B245" s="36">
        <v>1.15</v>
      </c>
      <c r="C245" s="38">
        <f>Ship_BOG*$B245+Ship_FixedL</f>
        <v>16534.1268292683</v>
      </c>
      <c r="D245" s="38">
        <f>Ship_CostNcmp</f>
        <v>38593.5483870968</v>
      </c>
      <c r="E245" s="38" t="e">
        <f>IF(ABS($B245-Ship_P_H2)&lt;=0.025,C245,NA())</f>
        <v>#N/A</v>
      </c>
      <c r="F245" s="38" t="e">
        <f>IF(ISNUMBER(Ship_BE),IF(ABS($B245-Ship_BE)&lt;=0.025,Ship_CostNcmp,NA()),NA())</f>
        <v>#N/A</v>
      </c>
      <c r="G245" s="38" t="e">
        <f>IF(ABS($B245-Ship_SW)&lt;=0.025,MAX(Ship_BOG*10+Ship_FixedL,Ship_CostNcmp),NA())</f>
        <v>#N/A</v>
      </c>
      <c r="H245" s="39">
        <f>IF(MOD(23,20)=0,TEXT($B245,"0"),"")</f>
        <v/>
      </c>
    </row>
    <row r="246" spans="2:8" ht="17" customHeight="1">
      <c r="B246" s="36">
        <v>1.2</v>
      </c>
      <c r="C246" s="38">
        <f>Ship_BOG*$B246+Ship_FixedL</f>
        <v>17100.5268292683</v>
      </c>
      <c r="D246" s="38">
        <f>Ship_CostNcmp</f>
        <v>38593.5483870968</v>
      </c>
      <c r="E246" s="38" t="e">
        <f>IF(ABS($B246-Ship_P_H2)&lt;=0.025,C246,NA())</f>
        <v>#N/A</v>
      </c>
      <c r="F246" s="38" t="e">
        <f>IF(ISNUMBER(Ship_BE),IF(ABS($B246-Ship_BE)&lt;=0.025,Ship_CostNcmp,NA()),NA())</f>
        <v>#N/A</v>
      </c>
      <c r="G246" s="38" t="e">
        <f>IF(ABS($B246-Ship_SW)&lt;=0.025,MAX(Ship_BOG*10+Ship_FixedL,Ship_CostNcmp),NA())</f>
        <v>#N/A</v>
      </c>
      <c r="H246" s="39">
        <f>IF(MOD(24,20)=0,TEXT($B246,"0"),"")</f>
        <v/>
      </c>
    </row>
    <row r="247" spans="2:8" ht="17" customHeight="1">
      <c r="B247" s="36">
        <v>1.25</v>
      </c>
      <c r="C247" s="38">
        <f>Ship_BOG*$B247+Ship_FixedL</f>
        <v>17666.9268292683</v>
      </c>
      <c r="D247" s="38">
        <f>Ship_CostNcmp</f>
        <v>38593.5483870968</v>
      </c>
      <c r="E247" s="38" t="e">
        <f>IF(ABS($B247-Ship_P_H2)&lt;=0.025,C247,NA())</f>
        <v>#N/A</v>
      </c>
      <c r="F247" s="38" t="e">
        <f>IF(ISNUMBER(Ship_BE),IF(ABS($B247-Ship_BE)&lt;=0.025,Ship_CostNcmp,NA()),NA())</f>
        <v>#N/A</v>
      </c>
      <c r="G247" s="38" t="e">
        <f>IF(ABS($B247-Ship_SW)&lt;=0.025,MAX(Ship_BOG*10+Ship_FixedL,Ship_CostNcmp),NA())</f>
        <v>#N/A</v>
      </c>
      <c r="H247" s="39">
        <f>IF(MOD(25,20)=0,TEXT($B247,"0"),"")</f>
        <v/>
      </c>
    </row>
    <row r="248" spans="2:8" ht="17" customHeight="1">
      <c r="B248" s="36">
        <v>1.3</v>
      </c>
      <c r="C248" s="38">
        <f>Ship_BOG*$B248+Ship_FixedL</f>
        <v>18233.3268292683</v>
      </c>
      <c r="D248" s="38">
        <f>Ship_CostNcmp</f>
        <v>38593.5483870968</v>
      </c>
      <c r="E248" s="38" t="e">
        <f>IF(ABS($B248-Ship_P_H2)&lt;=0.025,C248,NA())</f>
        <v>#N/A</v>
      </c>
      <c r="F248" s="38" t="e">
        <f>IF(ISNUMBER(Ship_BE),IF(ABS($B248-Ship_BE)&lt;=0.025,Ship_CostNcmp,NA()),NA())</f>
        <v>#N/A</v>
      </c>
      <c r="G248" s="38" t="e">
        <f>IF(ABS($B248-Ship_SW)&lt;=0.025,MAX(Ship_BOG*10+Ship_FixedL,Ship_CostNcmp),NA())</f>
        <v>#N/A</v>
      </c>
      <c r="H248" s="39">
        <f>IF(MOD(26,20)=0,TEXT($B248,"0"),"")</f>
        <v/>
      </c>
    </row>
    <row r="249" spans="2:8" ht="17" customHeight="1">
      <c r="B249" s="36">
        <v>1.35</v>
      </c>
      <c r="C249" s="38">
        <f>Ship_BOG*$B249+Ship_FixedL</f>
        <v>18799.7268292683</v>
      </c>
      <c r="D249" s="38">
        <f>Ship_CostNcmp</f>
        <v>38593.5483870968</v>
      </c>
      <c r="E249" s="38" t="e">
        <f>IF(ABS($B249-Ship_P_H2)&lt;=0.025,C249,NA())</f>
        <v>#N/A</v>
      </c>
      <c r="F249" s="38" t="e">
        <f>IF(ISNUMBER(Ship_BE),IF(ABS($B249-Ship_BE)&lt;=0.025,Ship_CostNcmp,NA()),NA())</f>
        <v>#N/A</v>
      </c>
      <c r="G249" s="38" t="e">
        <f>IF(ABS($B249-Ship_SW)&lt;=0.025,MAX(Ship_BOG*10+Ship_FixedL,Ship_CostNcmp),NA())</f>
        <v>#N/A</v>
      </c>
      <c r="H249" s="39">
        <f>IF(MOD(27,20)=0,TEXT($B249,"0"),"")</f>
        <v/>
      </c>
    </row>
    <row r="250" spans="2:8" ht="17" customHeight="1">
      <c r="B250" s="36">
        <v>1.4</v>
      </c>
      <c r="C250" s="38">
        <f>Ship_BOG*$B250+Ship_FixedL</f>
        <v>19366.1268292683</v>
      </c>
      <c r="D250" s="38">
        <f>Ship_CostNcmp</f>
        <v>38593.5483870968</v>
      </c>
      <c r="E250" s="38" t="e">
        <f>IF(ABS($B250-Ship_P_H2)&lt;=0.025,C250,NA())</f>
        <v>#N/A</v>
      </c>
      <c r="F250" s="38" t="e">
        <f>IF(ISNUMBER(Ship_BE),IF(ABS($B250-Ship_BE)&lt;=0.025,Ship_CostNcmp,NA()),NA())</f>
        <v>#N/A</v>
      </c>
      <c r="G250" s="38" t="e">
        <f>IF(ABS($B250-Ship_SW)&lt;=0.025,MAX(Ship_BOG*10+Ship_FixedL,Ship_CostNcmp),NA())</f>
        <v>#N/A</v>
      </c>
      <c r="H250" s="39">
        <f>IF(MOD(28,20)=0,TEXT($B250,"0"),"")</f>
        <v/>
      </c>
    </row>
    <row r="251" spans="2:8" ht="17" customHeight="1">
      <c r="B251" s="36">
        <v>1.45</v>
      </c>
      <c r="C251" s="38">
        <f>Ship_BOG*$B251+Ship_FixedL</f>
        <v>19932.5268292683</v>
      </c>
      <c r="D251" s="38">
        <f>Ship_CostNcmp</f>
        <v>38593.5483870968</v>
      </c>
      <c r="E251" s="38" t="e">
        <f>IF(ABS($B251-Ship_P_H2)&lt;=0.025,C251,NA())</f>
        <v>#N/A</v>
      </c>
      <c r="F251" s="38" t="e">
        <f>IF(ISNUMBER(Ship_BE),IF(ABS($B251-Ship_BE)&lt;=0.025,Ship_CostNcmp,NA()),NA())</f>
        <v>#N/A</v>
      </c>
      <c r="G251" s="38" t="e">
        <f>IF(ABS($B251-Ship_SW)&lt;=0.025,MAX(Ship_BOG*10+Ship_FixedL,Ship_CostNcmp),NA())</f>
        <v>#N/A</v>
      </c>
      <c r="H251" s="39">
        <f>IF(MOD(29,20)=0,TEXT($B251,"0"),"")</f>
        <v/>
      </c>
    </row>
    <row r="252" spans="2:8" ht="17" customHeight="1">
      <c r="B252" s="36">
        <v>1.5</v>
      </c>
      <c r="C252" s="38">
        <f>Ship_BOG*$B252+Ship_FixedL</f>
        <v>20498.9268292683</v>
      </c>
      <c r="D252" s="38">
        <f>Ship_CostNcmp</f>
        <v>38593.5483870968</v>
      </c>
      <c r="E252" s="38" t="e">
        <f>IF(ABS($B252-Ship_P_H2)&lt;=0.025,C252,NA())</f>
        <v>#N/A</v>
      </c>
      <c r="F252" s="38" t="e">
        <f>IF(ISNUMBER(Ship_BE),IF(ABS($B252-Ship_BE)&lt;=0.025,Ship_CostNcmp,NA()),NA())</f>
        <v>#N/A</v>
      </c>
      <c r="G252" s="38" t="e">
        <f>IF(ABS($B252-Ship_SW)&lt;=0.025,MAX(Ship_BOG*10+Ship_FixedL,Ship_CostNcmp),NA())</f>
        <v>#N/A</v>
      </c>
      <c r="H252" s="39">
        <f>IF(MOD(30,20)=0,TEXT($B252,"0"),"")</f>
        <v/>
      </c>
    </row>
    <row r="253" spans="2:8" ht="17" customHeight="1">
      <c r="B253" s="36">
        <v>1.55</v>
      </c>
      <c r="C253" s="38">
        <f>Ship_BOG*$B253+Ship_FixedL</f>
        <v>21065.3268292683</v>
      </c>
      <c r="D253" s="38">
        <f>Ship_CostNcmp</f>
        <v>38593.5483870968</v>
      </c>
      <c r="E253" s="38" t="e">
        <f>IF(ABS($B253-Ship_P_H2)&lt;=0.025,C253,NA())</f>
        <v>#N/A</v>
      </c>
      <c r="F253" s="38" t="e">
        <f>IF(ISNUMBER(Ship_BE),IF(ABS($B253-Ship_BE)&lt;=0.025,Ship_CostNcmp,NA()),NA())</f>
        <v>#N/A</v>
      </c>
      <c r="G253" s="38" t="e">
        <f>IF(ABS($B253-Ship_SW)&lt;=0.025,MAX(Ship_BOG*10+Ship_FixedL,Ship_CostNcmp),NA())</f>
        <v>#N/A</v>
      </c>
      <c r="H253" s="39">
        <f>IF(MOD(31,20)=0,TEXT($B253,"0"),"")</f>
        <v/>
      </c>
    </row>
    <row r="254" spans="2:8" ht="17" customHeight="1">
      <c r="B254" s="36">
        <v>1.6</v>
      </c>
      <c r="C254" s="38">
        <f>Ship_BOG*$B254+Ship_FixedL</f>
        <v>21631.7268292683</v>
      </c>
      <c r="D254" s="38">
        <f>Ship_CostNcmp</f>
        <v>38593.5483870968</v>
      </c>
      <c r="E254" s="38" t="e">
        <f>IF(ABS($B254-Ship_P_H2)&lt;=0.025,C254,NA())</f>
        <v>#N/A</v>
      </c>
      <c r="F254" s="38" t="e">
        <f>IF(ISNUMBER(Ship_BE),IF(ABS($B254-Ship_BE)&lt;=0.025,Ship_CostNcmp,NA()),NA())</f>
        <v>#N/A</v>
      </c>
      <c r="G254" s="38" t="e">
        <f>IF(ABS($B254-Ship_SW)&lt;=0.025,MAX(Ship_BOG*10+Ship_FixedL,Ship_CostNcmp),NA())</f>
        <v>#N/A</v>
      </c>
      <c r="H254" s="39">
        <f>IF(MOD(32,20)=0,TEXT($B254,"0"),"")</f>
        <v/>
      </c>
    </row>
    <row r="255" spans="2:8" ht="17" customHeight="1">
      <c r="B255" s="36">
        <v>1.65</v>
      </c>
      <c r="C255" s="38">
        <f>Ship_BOG*$B255+Ship_FixedL</f>
        <v>22198.1268292683</v>
      </c>
      <c r="D255" s="38">
        <f>Ship_CostNcmp</f>
        <v>38593.5483870968</v>
      </c>
      <c r="E255" s="38" t="e">
        <f>IF(ABS($B255-Ship_P_H2)&lt;=0.025,C255,NA())</f>
        <v>#N/A</v>
      </c>
      <c r="F255" s="38" t="e">
        <f>IF(ISNUMBER(Ship_BE),IF(ABS($B255-Ship_BE)&lt;=0.025,Ship_CostNcmp,NA()),NA())</f>
        <v>#N/A</v>
      </c>
      <c r="G255" s="38" t="e">
        <f>IF(ABS($B255-Ship_SW)&lt;=0.025,MAX(Ship_BOG*10+Ship_FixedL,Ship_CostNcmp),NA())</f>
        <v>#N/A</v>
      </c>
      <c r="H255" s="39">
        <f>IF(MOD(33,20)=0,TEXT($B255,"0"),"")</f>
        <v/>
      </c>
    </row>
    <row r="256" spans="2:8" ht="17" customHeight="1">
      <c r="B256" s="36">
        <v>1.7</v>
      </c>
      <c r="C256" s="38">
        <f>Ship_BOG*$B256+Ship_FixedL</f>
        <v>22764.5268292683</v>
      </c>
      <c r="D256" s="38">
        <f>Ship_CostNcmp</f>
        <v>38593.5483870968</v>
      </c>
      <c r="E256" s="38" t="e">
        <f>IF(ABS($B256-Ship_P_H2)&lt;=0.025,C256,NA())</f>
        <v>#N/A</v>
      </c>
      <c r="F256" s="38" t="e">
        <f>IF(ISNUMBER(Ship_BE),IF(ABS($B256-Ship_BE)&lt;=0.025,Ship_CostNcmp,NA()),NA())</f>
        <v>#N/A</v>
      </c>
      <c r="G256" s="38" t="e">
        <f>IF(ABS($B256-Ship_SW)&lt;=0.025,MAX(Ship_BOG*10+Ship_FixedL,Ship_CostNcmp),NA())</f>
        <v>#N/A</v>
      </c>
      <c r="H256" s="39">
        <f>IF(MOD(34,20)=0,TEXT($B256,"0"),"")</f>
        <v/>
      </c>
    </row>
    <row r="257" spans="2:8" ht="17" customHeight="1">
      <c r="B257" s="36">
        <v>1.75</v>
      </c>
      <c r="C257" s="38">
        <f>Ship_BOG*$B257+Ship_FixedL</f>
        <v>23330.9268292683</v>
      </c>
      <c r="D257" s="38">
        <f>Ship_CostNcmp</f>
        <v>38593.5483870968</v>
      </c>
      <c r="E257" s="38" t="e">
        <f>IF(ABS($B257-Ship_P_H2)&lt;=0.025,C257,NA())</f>
        <v>#N/A</v>
      </c>
      <c r="F257" s="38" t="e">
        <f>IF(ISNUMBER(Ship_BE),IF(ABS($B257-Ship_BE)&lt;=0.025,Ship_CostNcmp,NA()),NA())</f>
        <v>#N/A</v>
      </c>
      <c r="G257" s="38">
        <f>IF(ABS($B257-Ship_SW)&lt;=0.025,MAX(Ship_BOG*10+Ship_FixedL,Ship_CostNcmp),NA())</f>
        <v>116786.926829268</v>
      </c>
      <c r="H257" s="39">
        <f>IF(MOD(35,20)=0,TEXT($B257,"0"),"")</f>
        <v/>
      </c>
    </row>
    <row r="258" spans="2:8" ht="17" customHeight="1">
      <c r="B258" s="36">
        <v>1.8</v>
      </c>
      <c r="C258" s="38">
        <f>Ship_BOG*$B258+Ship_FixedL</f>
        <v>23897.3268292683</v>
      </c>
      <c r="D258" s="38">
        <f>Ship_CostNcmp</f>
        <v>38593.5483870968</v>
      </c>
      <c r="E258" s="38" t="e">
        <f>IF(ABS($B258-Ship_P_H2)&lt;=0.025,C258,NA())</f>
        <v>#N/A</v>
      </c>
      <c r="F258" s="38" t="e">
        <f>IF(ISNUMBER(Ship_BE),IF(ABS($B258-Ship_BE)&lt;=0.025,Ship_CostNcmp,NA()),NA())</f>
        <v>#N/A</v>
      </c>
      <c r="G258" s="38" t="e">
        <f>IF(ABS($B258-Ship_SW)&lt;=0.025,MAX(Ship_BOG*10+Ship_FixedL,Ship_CostNcmp),NA())</f>
        <v>#N/A</v>
      </c>
      <c r="H258" s="39">
        <f>IF(MOD(36,20)=0,TEXT($B258,"0"),"")</f>
        <v/>
      </c>
    </row>
    <row r="259" spans="2:8" ht="17" customHeight="1">
      <c r="B259" s="36">
        <v>1.85</v>
      </c>
      <c r="C259" s="38">
        <f>Ship_BOG*$B259+Ship_FixedL</f>
        <v>24463.7268292683</v>
      </c>
      <c r="D259" s="38">
        <f>Ship_CostNcmp</f>
        <v>38593.5483870968</v>
      </c>
      <c r="E259" s="38" t="e">
        <f>IF(ABS($B259-Ship_P_H2)&lt;=0.025,C259,NA())</f>
        <v>#N/A</v>
      </c>
      <c r="F259" s="38" t="e">
        <f>IF(ISNUMBER(Ship_BE),IF(ABS($B259-Ship_BE)&lt;=0.025,Ship_CostNcmp,NA()),NA())</f>
        <v>#N/A</v>
      </c>
      <c r="G259" s="38" t="e">
        <f>IF(ABS($B259-Ship_SW)&lt;=0.025,MAX(Ship_BOG*10+Ship_FixedL,Ship_CostNcmp),NA())</f>
        <v>#N/A</v>
      </c>
      <c r="H259" s="39">
        <f>IF(MOD(37,20)=0,TEXT($B259,"0"),"")</f>
        <v/>
      </c>
    </row>
    <row r="260" spans="2:8" ht="17" customHeight="1">
      <c r="B260" s="36">
        <v>1.9</v>
      </c>
      <c r="C260" s="38">
        <f>Ship_BOG*$B260+Ship_FixedL</f>
        <v>25030.1268292683</v>
      </c>
      <c r="D260" s="38">
        <f>Ship_CostNcmp</f>
        <v>38593.5483870968</v>
      </c>
      <c r="E260" s="38" t="e">
        <f>IF(ABS($B260-Ship_P_H2)&lt;=0.025,C260,NA())</f>
        <v>#N/A</v>
      </c>
      <c r="F260" s="38" t="e">
        <f>IF(ISNUMBER(Ship_BE),IF(ABS($B260-Ship_BE)&lt;=0.025,Ship_CostNcmp,NA()),NA())</f>
        <v>#N/A</v>
      </c>
      <c r="G260" s="38" t="e">
        <f>IF(ABS($B260-Ship_SW)&lt;=0.025,MAX(Ship_BOG*10+Ship_FixedL,Ship_CostNcmp),NA())</f>
        <v>#N/A</v>
      </c>
      <c r="H260" s="39">
        <f>IF(MOD(38,20)=0,TEXT($B260,"0"),"")</f>
        <v/>
      </c>
    </row>
    <row r="261" spans="2:8" ht="17" customHeight="1">
      <c r="B261" s="36">
        <v>1.95</v>
      </c>
      <c r="C261" s="38">
        <f>Ship_BOG*$B261+Ship_FixedL</f>
        <v>25596.5268292683</v>
      </c>
      <c r="D261" s="38">
        <f>Ship_CostNcmp</f>
        <v>38593.5483870968</v>
      </c>
      <c r="E261" s="38" t="e">
        <f>IF(ABS($B261-Ship_P_H2)&lt;=0.025,C261,NA())</f>
        <v>#N/A</v>
      </c>
      <c r="F261" s="38" t="e">
        <f>IF(ISNUMBER(Ship_BE),IF(ABS($B261-Ship_BE)&lt;=0.025,Ship_CostNcmp,NA()),NA())</f>
        <v>#N/A</v>
      </c>
      <c r="G261" s="38" t="e">
        <f>IF(ABS($B261-Ship_SW)&lt;=0.025,MAX(Ship_BOG*10+Ship_FixedL,Ship_CostNcmp),NA())</f>
        <v>#N/A</v>
      </c>
      <c r="H261" s="39">
        <f>IF(MOD(39,20)=0,TEXT($B261,"0"),"")</f>
        <v/>
      </c>
    </row>
    <row r="262" spans="2:8" ht="17" customHeight="1">
      <c r="B262" s="36">
        <v>2</v>
      </c>
      <c r="C262" s="38">
        <f>Ship_BOG*$B262+Ship_FixedL</f>
        <v>26162.9268292683</v>
      </c>
      <c r="D262" s="38">
        <f>Ship_CostNcmp</f>
        <v>38593.5483870968</v>
      </c>
      <c r="E262" s="38" t="e">
        <f>IF(ABS($B262-Ship_P_H2)&lt;=0.025,C262,NA())</f>
        <v>#N/A</v>
      </c>
      <c r="F262" s="38" t="e">
        <f>IF(ISNUMBER(Ship_BE),IF(ABS($B262-Ship_BE)&lt;=0.025,Ship_CostNcmp,NA()),NA())</f>
        <v>#N/A</v>
      </c>
      <c r="G262" s="38" t="e">
        <f>IF(ABS($B262-Ship_SW)&lt;=0.025,MAX(Ship_BOG*10+Ship_FixedL,Ship_CostNcmp),NA())</f>
        <v>#N/A</v>
      </c>
      <c r="H262" s="39" t="str">
        <f>IF(MOD(40,20)=0,TEXT($B262,"0"),"")</f>
        <v>2</v>
      </c>
    </row>
    <row r="263" spans="2:8" ht="17" customHeight="1">
      <c r="B263" s="36">
        <v>2.05</v>
      </c>
      <c r="C263" s="38">
        <f>Ship_BOG*$B263+Ship_FixedL</f>
        <v>26729.3268292683</v>
      </c>
      <c r="D263" s="38">
        <f>Ship_CostNcmp</f>
        <v>38593.5483870968</v>
      </c>
      <c r="E263" s="38" t="e">
        <f>IF(ABS($B263-Ship_P_H2)&lt;=0.025,C263,NA())</f>
        <v>#N/A</v>
      </c>
      <c r="F263" s="38" t="e">
        <f>IF(ISNUMBER(Ship_BE),IF(ABS($B263-Ship_BE)&lt;=0.025,Ship_CostNcmp,NA()),NA())</f>
        <v>#N/A</v>
      </c>
      <c r="G263" s="38" t="e">
        <f>IF(ABS($B263-Ship_SW)&lt;=0.025,MAX(Ship_BOG*10+Ship_FixedL,Ship_CostNcmp),NA())</f>
        <v>#N/A</v>
      </c>
      <c r="H263" s="39">
        <f>IF(MOD(41,20)=0,TEXT($B263,"0"),"")</f>
        <v/>
      </c>
    </row>
    <row r="264" spans="2:8" ht="17" customHeight="1">
      <c r="B264" s="36">
        <v>2.1</v>
      </c>
      <c r="C264" s="38">
        <f>Ship_BOG*$B264+Ship_FixedL</f>
        <v>27295.7268292683</v>
      </c>
      <c r="D264" s="38">
        <f>Ship_CostNcmp</f>
        <v>38593.5483870968</v>
      </c>
      <c r="E264" s="38" t="e">
        <f>IF(ABS($B264-Ship_P_H2)&lt;=0.025,C264,NA())</f>
        <v>#N/A</v>
      </c>
      <c r="F264" s="38" t="e">
        <f>IF(ISNUMBER(Ship_BE),IF(ABS($B264-Ship_BE)&lt;=0.025,Ship_CostNcmp,NA()),NA())</f>
        <v>#N/A</v>
      </c>
      <c r="G264" s="38" t="e">
        <f>IF(ABS($B264-Ship_SW)&lt;=0.025,MAX(Ship_BOG*10+Ship_FixedL,Ship_CostNcmp),NA())</f>
        <v>#N/A</v>
      </c>
      <c r="H264" s="39">
        <f>IF(MOD(42,20)=0,TEXT($B264,"0"),"")</f>
        <v/>
      </c>
    </row>
    <row r="265" spans="2:8" ht="17" customHeight="1">
      <c r="B265" s="36">
        <v>2.15</v>
      </c>
      <c r="C265" s="38">
        <f>Ship_BOG*$B265+Ship_FixedL</f>
        <v>27862.1268292683</v>
      </c>
      <c r="D265" s="38">
        <f>Ship_CostNcmp</f>
        <v>38593.5483870968</v>
      </c>
      <c r="E265" s="38" t="e">
        <f>IF(ABS($B265-Ship_P_H2)&lt;=0.025,C265,NA())</f>
        <v>#N/A</v>
      </c>
      <c r="F265" s="38" t="e">
        <f>IF(ISNUMBER(Ship_BE),IF(ABS($B265-Ship_BE)&lt;=0.025,Ship_CostNcmp,NA()),NA())</f>
        <v>#N/A</v>
      </c>
      <c r="G265" s="38" t="e">
        <f>IF(ABS($B265-Ship_SW)&lt;=0.025,MAX(Ship_BOG*10+Ship_FixedL,Ship_CostNcmp),NA())</f>
        <v>#N/A</v>
      </c>
      <c r="H265" s="39">
        <f>IF(MOD(43,20)=0,TEXT($B265,"0"),"")</f>
        <v/>
      </c>
    </row>
    <row r="266" spans="2:8" ht="17" customHeight="1">
      <c r="B266" s="36">
        <v>2.2</v>
      </c>
      <c r="C266" s="38">
        <f>Ship_BOG*$B266+Ship_FixedL</f>
        <v>28428.5268292683</v>
      </c>
      <c r="D266" s="38">
        <f>Ship_CostNcmp</f>
        <v>38593.5483870968</v>
      </c>
      <c r="E266" s="38" t="e">
        <f>IF(ABS($B266-Ship_P_H2)&lt;=0.025,C266,NA())</f>
        <v>#N/A</v>
      </c>
      <c r="F266" s="38" t="e">
        <f>IF(ISNUMBER(Ship_BE),IF(ABS($B266-Ship_BE)&lt;=0.025,Ship_CostNcmp,NA()),NA())</f>
        <v>#N/A</v>
      </c>
      <c r="G266" s="38" t="e">
        <f>IF(ABS($B266-Ship_SW)&lt;=0.025,MAX(Ship_BOG*10+Ship_FixedL,Ship_CostNcmp),NA())</f>
        <v>#N/A</v>
      </c>
      <c r="H266" s="39">
        <f>IF(MOD(44,20)=0,TEXT($B266,"0"),"")</f>
        <v/>
      </c>
    </row>
    <row r="267" spans="2:8" ht="17" customHeight="1">
      <c r="B267" s="36">
        <v>2.25</v>
      </c>
      <c r="C267" s="38">
        <f>Ship_BOG*$B267+Ship_FixedL</f>
        <v>28994.9268292683</v>
      </c>
      <c r="D267" s="38">
        <f>Ship_CostNcmp</f>
        <v>38593.5483870968</v>
      </c>
      <c r="E267" s="38" t="e">
        <f>IF(ABS($B267-Ship_P_H2)&lt;=0.025,C267,NA())</f>
        <v>#N/A</v>
      </c>
      <c r="F267" s="38" t="e">
        <f>IF(ISNUMBER(Ship_BE),IF(ABS($B267-Ship_BE)&lt;=0.025,Ship_CostNcmp,NA()),NA())</f>
        <v>#N/A</v>
      </c>
      <c r="G267" s="38" t="e">
        <f>IF(ABS($B267-Ship_SW)&lt;=0.025,MAX(Ship_BOG*10+Ship_FixedL,Ship_CostNcmp),NA())</f>
        <v>#N/A</v>
      </c>
      <c r="H267" s="39">
        <f>IF(MOD(45,20)=0,TEXT($B267,"0"),"")</f>
        <v/>
      </c>
    </row>
    <row r="268" spans="2:8" ht="17" customHeight="1">
      <c r="B268" s="36">
        <v>2.3</v>
      </c>
      <c r="C268" s="38">
        <f>Ship_BOG*$B268+Ship_FixedL</f>
        <v>29561.3268292683</v>
      </c>
      <c r="D268" s="38">
        <f>Ship_CostNcmp</f>
        <v>38593.5483870968</v>
      </c>
      <c r="E268" s="38" t="e">
        <f>IF(ABS($B268-Ship_P_H2)&lt;=0.025,C268,NA())</f>
        <v>#N/A</v>
      </c>
      <c r="F268" s="38" t="e">
        <f>IF(ISNUMBER(Ship_BE),IF(ABS($B268-Ship_BE)&lt;=0.025,Ship_CostNcmp,NA()),NA())</f>
        <v>#N/A</v>
      </c>
      <c r="G268" s="38" t="e">
        <f>IF(ABS($B268-Ship_SW)&lt;=0.025,MAX(Ship_BOG*10+Ship_FixedL,Ship_CostNcmp),NA())</f>
        <v>#N/A</v>
      </c>
      <c r="H268" s="39">
        <f>IF(MOD(46,20)=0,TEXT($B268,"0"),"")</f>
        <v/>
      </c>
    </row>
    <row r="269" spans="2:8" ht="17" customHeight="1">
      <c r="B269" s="36">
        <v>2.35</v>
      </c>
      <c r="C269" s="38">
        <f>Ship_BOG*$B269+Ship_FixedL</f>
        <v>30127.7268292683</v>
      </c>
      <c r="D269" s="38">
        <f>Ship_CostNcmp</f>
        <v>38593.5483870968</v>
      </c>
      <c r="E269" s="38" t="e">
        <f>IF(ABS($B269-Ship_P_H2)&lt;=0.025,C269,NA())</f>
        <v>#N/A</v>
      </c>
      <c r="F269" s="38" t="e">
        <f>IF(ISNUMBER(Ship_BE),IF(ABS($B269-Ship_BE)&lt;=0.025,Ship_CostNcmp,NA()),NA())</f>
        <v>#N/A</v>
      </c>
      <c r="G269" s="38" t="e">
        <f>IF(ABS($B269-Ship_SW)&lt;=0.025,MAX(Ship_BOG*10+Ship_FixedL,Ship_CostNcmp),NA())</f>
        <v>#N/A</v>
      </c>
      <c r="H269" s="39">
        <f>IF(MOD(47,20)=0,TEXT($B269,"0"),"")</f>
        <v/>
      </c>
    </row>
    <row r="270" spans="2:8" ht="17" customHeight="1">
      <c r="B270" s="36">
        <v>2.4</v>
      </c>
      <c r="C270" s="38">
        <f>Ship_BOG*$B270+Ship_FixedL</f>
        <v>30694.1268292683</v>
      </c>
      <c r="D270" s="38">
        <f>Ship_CostNcmp</f>
        <v>38593.5483870968</v>
      </c>
      <c r="E270" s="38" t="e">
        <f>IF(ABS($B270-Ship_P_H2)&lt;=0.025,C270,NA())</f>
        <v>#N/A</v>
      </c>
      <c r="F270" s="38" t="e">
        <f>IF(ISNUMBER(Ship_BE),IF(ABS($B270-Ship_BE)&lt;=0.025,Ship_CostNcmp,NA()),NA())</f>
        <v>#N/A</v>
      </c>
      <c r="G270" s="38" t="e">
        <f>IF(ABS($B270-Ship_SW)&lt;=0.025,MAX(Ship_BOG*10+Ship_FixedL,Ship_CostNcmp),NA())</f>
        <v>#N/A</v>
      </c>
      <c r="H270" s="39">
        <f>IF(MOD(48,20)=0,TEXT($B270,"0"),"")</f>
        <v/>
      </c>
    </row>
    <row r="271" spans="2:8" ht="17" customHeight="1">
      <c r="B271" s="36">
        <v>2.45</v>
      </c>
      <c r="C271" s="38">
        <f>Ship_BOG*$B271+Ship_FixedL</f>
        <v>31260.5268292683</v>
      </c>
      <c r="D271" s="38">
        <f>Ship_CostNcmp</f>
        <v>38593.5483870968</v>
      </c>
      <c r="E271" s="38" t="e">
        <f>IF(ABS($B271-Ship_P_H2)&lt;=0.025,C271,NA())</f>
        <v>#N/A</v>
      </c>
      <c r="F271" s="38" t="e">
        <f>IF(ISNUMBER(Ship_BE),IF(ABS($B271-Ship_BE)&lt;=0.025,Ship_CostNcmp,NA()),NA())</f>
        <v>#N/A</v>
      </c>
      <c r="G271" s="38" t="e">
        <f>IF(ABS($B271-Ship_SW)&lt;=0.025,MAX(Ship_BOG*10+Ship_FixedL,Ship_CostNcmp),NA())</f>
        <v>#N/A</v>
      </c>
      <c r="H271" s="39">
        <f>IF(MOD(49,20)=0,TEXT($B271,"0"),"")</f>
        <v/>
      </c>
    </row>
    <row r="272" spans="2:8" ht="17" customHeight="1">
      <c r="B272" s="36">
        <v>2.5</v>
      </c>
      <c r="C272" s="38">
        <f>Ship_BOG*$B272+Ship_FixedL</f>
        <v>31826.9268292683</v>
      </c>
      <c r="D272" s="38">
        <f>Ship_CostNcmp</f>
        <v>38593.5483870968</v>
      </c>
      <c r="E272" s="38" t="e">
        <f>IF(ABS($B272-Ship_P_H2)&lt;=0.025,C272,NA())</f>
        <v>#N/A</v>
      </c>
      <c r="F272" s="38" t="e">
        <f>IF(ISNUMBER(Ship_BE),IF(ABS($B272-Ship_BE)&lt;=0.025,Ship_CostNcmp,NA()),NA())</f>
        <v>#N/A</v>
      </c>
      <c r="G272" s="38" t="e">
        <f>IF(ABS($B272-Ship_SW)&lt;=0.025,MAX(Ship_BOG*10+Ship_FixedL,Ship_CostNcmp),NA())</f>
        <v>#N/A</v>
      </c>
      <c r="H272" s="39">
        <f>IF(MOD(50,20)=0,TEXT($B272,"0"),"")</f>
        <v/>
      </c>
    </row>
    <row r="273" spans="2:8" ht="17" customHeight="1">
      <c r="B273" s="36">
        <v>2.55</v>
      </c>
      <c r="C273" s="38">
        <f>Ship_BOG*$B273+Ship_FixedL</f>
        <v>32393.3268292683</v>
      </c>
      <c r="D273" s="38">
        <f>Ship_CostNcmp</f>
        <v>38593.5483870968</v>
      </c>
      <c r="E273" s="38" t="e">
        <f>IF(ABS($B273-Ship_P_H2)&lt;=0.025,C273,NA())</f>
        <v>#N/A</v>
      </c>
      <c r="F273" s="38" t="e">
        <f>IF(ISNUMBER(Ship_BE),IF(ABS($B273-Ship_BE)&lt;=0.025,Ship_CostNcmp,NA()),NA())</f>
        <v>#N/A</v>
      </c>
      <c r="G273" s="38" t="e">
        <f>IF(ABS($B273-Ship_SW)&lt;=0.025,MAX(Ship_BOG*10+Ship_FixedL,Ship_CostNcmp),NA())</f>
        <v>#N/A</v>
      </c>
      <c r="H273" s="39">
        <f>IF(MOD(51,20)=0,TEXT($B273,"0"),"")</f>
        <v/>
      </c>
    </row>
    <row r="274" spans="2:8" ht="17" customHeight="1">
      <c r="B274" s="36">
        <v>2.6</v>
      </c>
      <c r="C274" s="38">
        <f>Ship_BOG*$B274+Ship_FixedL</f>
        <v>32959.7268292683</v>
      </c>
      <c r="D274" s="38">
        <f>Ship_CostNcmp</f>
        <v>38593.5483870968</v>
      </c>
      <c r="E274" s="38" t="e">
        <f>IF(ABS($B274-Ship_P_H2)&lt;=0.025,C274,NA())</f>
        <v>#N/A</v>
      </c>
      <c r="F274" s="38" t="e">
        <f>IF(ISNUMBER(Ship_BE),IF(ABS($B274-Ship_BE)&lt;=0.025,Ship_CostNcmp,NA()),NA())</f>
        <v>#N/A</v>
      </c>
      <c r="G274" s="38" t="e">
        <f>IF(ABS($B274-Ship_SW)&lt;=0.025,MAX(Ship_BOG*10+Ship_FixedL,Ship_CostNcmp),NA())</f>
        <v>#N/A</v>
      </c>
      <c r="H274" s="39">
        <f>IF(MOD(52,20)=0,TEXT($B274,"0"),"")</f>
        <v/>
      </c>
    </row>
    <row r="275" spans="2:8" ht="17" customHeight="1">
      <c r="B275" s="36">
        <v>2.65</v>
      </c>
      <c r="C275" s="38">
        <f>Ship_BOG*$B275+Ship_FixedL</f>
        <v>33526.1268292683</v>
      </c>
      <c r="D275" s="38">
        <f>Ship_CostNcmp</f>
        <v>38593.5483870968</v>
      </c>
      <c r="E275" s="38" t="e">
        <f>IF(ABS($B275-Ship_P_H2)&lt;=0.025,C275,NA())</f>
        <v>#N/A</v>
      </c>
      <c r="F275" s="38" t="e">
        <f>IF(ISNUMBER(Ship_BE),IF(ABS($B275-Ship_BE)&lt;=0.025,Ship_CostNcmp,NA()),NA())</f>
        <v>#N/A</v>
      </c>
      <c r="G275" s="38" t="e">
        <f>IF(ABS($B275-Ship_SW)&lt;=0.025,MAX(Ship_BOG*10+Ship_FixedL,Ship_CostNcmp),NA())</f>
        <v>#N/A</v>
      </c>
      <c r="H275" s="39">
        <f>IF(MOD(53,20)=0,TEXT($B275,"0"),"")</f>
        <v/>
      </c>
    </row>
    <row r="276" spans="2:8" ht="17" customHeight="1">
      <c r="B276" s="36">
        <v>2.7</v>
      </c>
      <c r="C276" s="38">
        <f>Ship_BOG*$B276+Ship_FixedL</f>
        <v>34092.5268292683</v>
      </c>
      <c r="D276" s="38">
        <f>Ship_CostNcmp</f>
        <v>38593.5483870968</v>
      </c>
      <c r="E276" s="38" t="e">
        <f>IF(ABS($B276-Ship_P_H2)&lt;=0.025,C276,NA())</f>
        <v>#N/A</v>
      </c>
      <c r="F276" s="38" t="e">
        <f>IF(ISNUMBER(Ship_BE),IF(ABS($B276-Ship_BE)&lt;=0.025,Ship_CostNcmp,NA()),NA())</f>
        <v>#N/A</v>
      </c>
      <c r="G276" s="38" t="e">
        <f>IF(ABS($B276-Ship_SW)&lt;=0.025,MAX(Ship_BOG*10+Ship_FixedL,Ship_CostNcmp),NA())</f>
        <v>#N/A</v>
      </c>
      <c r="H276" s="39">
        <f>IF(MOD(54,20)=0,TEXT($B276,"0"),"")</f>
        <v/>
      </c>
    </row>
    <row r="277" spans="2:8" ht="17" customHeight="1">
      <c r="B277" s="36">
        <v>2.75</v>
      </c>
      <c r="C277" s="38">
        <f>Ship_BOG*$B277+Ship_FixedL</f>
        <v>34658.9268292683</v>
      </c>
      <c r="D277" s="38">
        <f>Ship_CostNcmp</f>
        <v>38593.5483870968</v>
      </c>
      <c r="E277" s="38" t="e">
        <f>IF(ABS($B277-Ship_P_H2)&lt;=0.025,C277,NA())</f>
        <v>#N/A</v>
      </c>
      <c r="F277" s="38" t="e">
        <f>IF(ISNUMBER(Ship_BE),IF(ABS($B277-Ship_BE)&lt;=0.025,Ship_CostNcmp,NA()),NA())</f>
        <v>#N/A</v>
      </c>
      <c r="G277" s="38" t="e">
        <f>IF(ABS($B277-Ship_SW)&lt;=0.025,MAX(Ship_BOG*10+Ship_FixedL,Ship_CostNcmp),NA())</f>
        <v>#N/A</v>
      </c>
      <c r="H277" s="39">
        <f>IF(MOD(55,20)=0,TEXT($B277,"0"),"")</f>
        <v/>
      </c>
    </row>
    <row r="278" spans="2:8" ht="17" customHeight="1">
      <c r="B278" s="36">
        <v>2.8</v>
      </c>
      <c r="C278" s="38">
        <f>Ship_BOG*$B278+Ship_FixedL</f>
        <v>35225.3268292683</v>
      </c>
      <c r="D278" s="38">
        <f>Ship_CostNcmp</f>
        <v>38593.5483870968</v>
      </c>
      <c r="E278" s="38" t="e">
        <f>IF(ABS($B278-Ship_P_H2)&lt;=0.025,C278,NA())</f>
        <v>#N/A</v>
      </c>
      <c r="F278" s="38" t="e">
        <f>IF(ISNUMBER(Ship_BE),IF(ABS($B278-Ship_BE)&lt;=0.025,Ship_CostNcmp,NA()),NA())</f>
        <v>#N/A</v>
      </c>
      <c r="G278" s="38" t="e">
        <f>IF(ABS($B278-Ship_SW)&lt;=0.025,MAX(Ship_BOG*10+Ship_FixedL,Ship_CostNcmp),NA())</f>
        <v>#N/A</v>
      </c>
      <c r="H278" s="39">
        <f>IF(MOD(56,20)=0,TEXT($B278,"0"),"")</f>
        <v/>
      </c>
    </row>
    <row r="279" spans="2:8" ht="17" customHeight="1">
      <c r="B279" s="36">
        <v>2.85</v>
      </c>
      <c r="C279" s="38">
        <f>Ship_BOG*$B279+Ship_FixedL</f>
        <v>35791.7268292683</v>
      </c>
      <c r="D279" s="38">
        <f>Ship_CostNcmp</f>
        <v>38593.5483870968</v>
      </c>
      <c r="E279" s="38" t="e">
        <f>IF(ABS($B279-Ship_P_H2)&lt;=0.025,C279,NA())</f>
        <v>#N/A</v>
      </c>
      <c r="F279" s="38" t="e">
        <f>IF(ISNUMBER(Ship_BE),IF(ABS($B279-Ship_BE)&lt;=0.025,Ship_CostNcmp,NA()),NA())</f>
        <v>#N/A</v>
      </c>
      <c r="G279" s="38" t="e">
        <f>IF(ABS($B279-Ship_SW)&lt;=0.025,MAX(Ship_BOG*10+Ship_FixedL,Ship_CostNcmp),NA())</f>
        <v>#N/A</v>
      </c>
      <c r="H279" s="39">
        <f>IF(MOD(57,20)=0,TEXT($B279,"0"),"")</f>
        <v/>
      </c>
    </row>
    <row r="280" spans="2:8" ht="17" customHeight="1">
      <c r="B280" s="36">
        <v>2.9</v>
      </c>
      <c r="C280" s="38">
        <f>Ship_BOG*$B280+Ship_FixedL</f>
        <v>36358.1268292683</v>
      </c>
      <c r="D280" s="38">
        <f>Ship_CostNcmp</f>
        <v>38593.5483870968</v>
      </c>
      <c r="E280" s="38" t="e">
        <f>IF(ABS($B280-Ship_P_H2)&lt;=0.025,C280,NA())</f>
        <v>#N/A</v>
      </c>
      <c r="F280" s="38" t="e">
        <f>IF(ISNUMBER(Ship_BE),IF(ABS($B280-Ship_BE)&lt;=0.025,Ship_CostNcmp,NA()),NA())</f>
        <v>#N/A</v>
      </c>
      <c r="G280" s="38" t="e">
        <f>IF(ABS($B280-Ship_SW)&lt;=0.025,MAX(Ship_BOG*10+Ship_FixedL,Ship_CostNcmp),NA())</f>
        <v>#N/A</v>
      </c>
      <c r="H280" s="39">
        <f>IF(MOD(58,20)=0,TEXT($B280,"0"),"")</f>
        <v/>
      </c>
    </row>
    <row r="281" spans="2:8" ht="17" customHeight="1">
      <c r="B281" s="36">
        <v>2.95</v>
      </c>
      <c r="C281" s="38">
        <f>Ship_BOG*$B281+Ship_FixedL</f>
        <v>36924.5268292683</v>
      </c>
      <c r="D281" s="38">
        <f>Ship_CostNcmp</f>
        <v>38593.5483870968</v>
      </c>
      <c r="E281" s="38" t="e">
        <f>IF(ABS($B281-Ship_P_H2)&lt;=0.025,C281,NA())</f>
        <v>#N/A</v>
      </c>
      <c r="F281" s="38" t="e">
        <f>IF(ISNUMBER(Ship_BE),IF(ABS($B281-Ship_BE)&lt;=0.025,Ship_CostNcmp,NA()),NA())</f>
        <v>#N/A</v>
      </c>
      <c r="G281" s="38" t="e">
        <f>IF(ABS($B281-Ship_SW)&lt;=0.025,MAX(Ship_BOG*10+Ship_FixedL,Ship_CostNcmp),NA())</f>
        <v>#N/A</v>
      </c>
      <c r="H281" s="39">
        <f>IF(MOD(59,20)=0,TEXT($B281,"0"),"")</f>
        <v/>
      </c>
    </row>
    <row r="282" spans="2:8" ht="17" customHeight="1">
      <c r="B282" s="36">
        <v>3</v>
      </c>
      <c r="C282" s="38">
        <f>Ship_BOG*$B282+Ship_FixedL</f>
        <v>37490.9268292683</v>
      </c>
      <c r="D282" s="38">
        <f>Ship_CostNcmp</f>
        <v>38593.5483870968</v>
      </c>
      <c r="E282" s="38" t="e">
        <f>IF(ABS($B282-Ship_P_H2)&lt;=0.025,C282,NA())</f>
        <v>#N/A</v>
      </c>
      <c r="F282" s="38" t="e">
        <f>IF(ISNUMBER(Ship_BE),IF(ABS($B282-Ship_BE)&lt;=0.025,Ship_CostNcmp,NA()),NA())</f>
        <v>#N/A</v>
      </c>
      <c r="G282" s="38" t="e">
        <f>IF(ABS($B282-Ship_SW)&lt;=0.025,MAX(Ship_BOG*10+Ship_FixedL,Ship_CostNcmp),NA())</f>
        <v>#N/A</v>
      </c>
      <c r="H282" s="39" t="str">
        <f>IF(MOD(60,20)=0,TEXT($B282,"0"),"")</f>
        <v>3</v>
      </c>
    </row>
    <row r="283" spans="2:8" ht="17" customHeight="1">
      <c r="B283" s="36">
        <v>3.05</v>
      </c>
      <c r="C283" s="38">
        <f>Ship_BOG*$B283+Ship_FixedL</f>
        <v>38057.3268292683</v>
      </c>
      <c r="D283" s="38">
        <f>Ship_CostNcmp</f>
        <v>38593.5483870968</v>
      </c>
      <c r="E283" s="38" t="e">
        <f>IF(ABS($B283-Ship_P_H2)&lt;=0.025,C283,NA())</f>
        <v>#N/A</v>
      </c>
      <c r="F283" s="38" t="e">
        <f>IF(ISNUMBER(Ship_BE),IF(ABS($B283-Ship_BE)&lt;=0.025,Ship_CostNcmp,NA()),NA())</f>
        <v>#N/A</v>
      </c>
      <c r="G283" s="38" t="e">
        <f>IF(ABS($B283-Ship_SW)&lt;=0.025,MAX(Ship_BOG*10+Ship_FixedL,Ship_CostNcmp),NA())</f>
        <v>#N/A</v>
      </c>
      <c r="H283" s="39">
        <f>IF(MOD(61,20)=0,TEXT($B283,"0"),"")</f>
        <v/>
      </c>
    </row>
    <row r="284" spans="2:8" ht="17" customHeight="1">
      <c r="B284" s="36">
        <v>3.1</v>
      </c>
      <c r="C284" s="38">
        <f>Ship_BOG*$B284+Ship_FixedL</f>
        <v>38623.7268292683</v>
      </c>
      <c r="D284" s="38">
        <f>Ship_CostNcmp</f>
        <v>38593.5483870968</v>
      </c>
      <c r="E284" s="38" t="e">
        <f>IF(ABS($B284-Ship_P_H2)&lt;=0.025,C284,NA())</f>
        <v>#N/A</v>
      </c>
      <c r="F284" s="38">
        <f>IF(ISNUMBER(Ship_BE),IF(ABS($B284-Ship_BE)&lt;=0.025,Ship_CostNcmp,NA()),NA())</f>
        <v>38593.5483870968</v>
      </c>
      <c r="G284" s="38" t="e">
        <f>IF(ABS($B284-Ship_SW)&lt;=0.025,MAX(Ship_BOG*10+Ship_FixedL,Ship_CostNcmp),NA())</f>
        <v>#N/A</v>
      </c>
      <c r="H284" s="39">
        <f>IF(MOD(62,20)=0,TEXT($B284,"0"),"")</f>
        <v/>
      </c>
    </row>
    <row r="285" spans="2:8" ht="17" customHeight="1">
      <c r="B285" s="36">
        <v>3.15</v>
      </c>
      <c r="C285" s="38">
        <f>Ship_BOG*$B285+Ship_FixedL</f>
        <v>39190.1268292683</v>
      </c>
      <c r="D285" s="38">
        <f>Ship_CostNcmp</f>
        <v>38593.5483870968</v>
      </c>
      <c r="E285" s="38" t="e">
        <f>IF(ABS($B285-Ship_P_H2)&lt;=0.025,C285,NA())</f>
        <v>#N/A</v>
      </c>
      <c r="F285" s="38" t="e">
        <f>IF(ISNUMBER(Ship_BE),IF(ABS($B285-Ship_BE)&lt;=0.025,Ship_CostNcmp,NA()),NA())</f>
        <v>#N/A</v>
      </c>
      <c r="G285" s="38" t="e">
        <f>IF(ABS($B285-Ship_SW)&lt;=0.025,MAX(Ship_BOG*10+Ship_FixedL,Ship_CostNcmp),NA())</f>
        <v>#N/A</v>
      </c>
      <c r="H285" s="39">
        <f>IF(MOD(63,20)=0,TEXT($B285,"0"),"")</f>
        <v/>
      </c>
    </row>
    <row r="286" spans="2:8" ht="17" customHeight="1">
      <c r="B286" s="36">
        <v>3.2</v>
      </c>
      <c r="C286" s="38">
        <f>Ship_BOG*$B286+Ship_FixedL</f>
        <v>39756.5268292683</v>
      </c>
      <c r="D286" s="38">
        <f>Ship_CostNcmp</f>
        <v>38593.5483870968</v>
      </c>
      <c r="E286" s="38" t="e">
        <f>IF(ABS($B286-Ship_P_H2)&lt;=0.025,C286,NA())</f>
        <v>#N/A</v>
      </c>
      <c r="F286" s="38" t="e">
        <f>IF(ISNUMBER(Ship_BE),IF(ABS($B286-Ship_BE)&lt;=0.025,Ship_CostNcmp,NA()),NA())</f>
        <v>#N/A</v>
      </c>
      <c r="G286" s="38" t="e">
        <f>IF(ABS($B286-Ship_SW)&lt;=0.025,MAX(Ship_BOG*10+Ship_FixedL,Ship_CostNcmp),NA())</f>
        <v>#N/A</v>
      </c>
      <c r="H286" s="39">
        <f>IF(MOD(64,20)=0,TEXT($B286,"0"),"")</f>
        <v/>
      </c>
    </row>
    <row r="287" spans="2:8" ht="17" customHeight="1">
      <c r="B287" s="36">
        <v>3.25</v>
      </c>
      <c r="C287" s="38">
        <f>Ship_BOG*$B287+Ship_FixedL</f>
        <v>40322.9268292683</v>
      </c>
      <c r="D287" s="38">
        <f>Ship_CostNcmp</f>
        <v>38593.5483870968</v>
      </c>
      <c r="E287" s="38" t="e">
        <f>IF(ABS($B287-Ship_P_H2)&lt;=0.025,C287,NA())</f>
        <v>#N/A</v>
      </c>
      <c r="F287" s="38" t="e">
        <f>IF(ISNUMBER(Ship_BE),IF(ABS($B287-Ship_BE)&lt;=0.025,Ship_CostNcmp,NA()),NA())</f>
        <v>#N/A</v>
      </c>
      <c r="G287" s="38" t="e">
        <f>IF(ABS($B287-Ship_SW)&lt;=0.025,MAX(Ship_BOG*10+Ship_FixedL,Ship_CostNcmp),NA())</f>
        <v>#N/A</v>
      </c>
      <c r="H287" s="39">
        <f>IF(MOD(65,20)=0,TEXT($B287,"0"),"")</f>
        <v/>
      </c>
    </row>
    <row r="288" spans="2:8" ht="17" customHeight="1">
      <c r="B288" s="36">
        <v>3.3</v>
      </c>
      <c r="C288" s="38">
        <f>Ship_BOG*$B288+Ship_FixedL</f>
        <v>40889.3268292683</v>
      </c>
      <c r="D288" s="38">
        <f>Ship_CostNcmp</f>
        <v>38593.5483870968</v>
      </c>
      <c r="E288" s="38" t="e">
        <f>IF(ABS($B288-Ship_P_H2)&lt;=0.025,C288,NA())</f>
        <v>#N/A</v>
      </c>
      <c r="F288" s="38" t="e">
        <f>IF(ISNUMBER(Ship_BE),IF(ABS($B288-Ship_BE)&lt;=0.025,Ship_CostNcmp,NA()),NA())</f>
        <v>#N/A</v>
      </c>
      <c r="G288" s="38" t="e">
        <f>IF(ABS($B288-Ship_SW)&lt;=0.025,MAX(Ship_BOG*10+Ship_FixedL,Ship_CostNcmp),NA())</f>
        <v>#N/A</v>
      </c>
      <c r="H288" s="39">
        <f>IF(MOD(66,20)=0,TEXT($B288,"0"),"")</f>
        <v/>
      </c>
    </row>
    <row r="289" spans="2:8" ht="17" customHeight="1">
      <c r="B289" s="36">
        <v>3.35</v>
      </c>
      <c r="C289" s="38">
        <f>Ship_BOG*$B289+Ship_FixedL</f>
        <v>41455.7268292683</v>
      </c>
      <c r="D289" s="38">
        <f>Ship_CostNcmp</f>
        <v>38593.5483870968</v>
      </c>
      <c r="E289" s="38" t="e">
        <f>IF(ABS($B289-Ship_P_H2)&lt;=0.025,C289,NA())</f>
        <v>#N/A</v>
      </c>
      <c r="F289" s="38" t="e">
        <f>IF(ISNUMBER(Ship_BE),IF(ABS($B289-Ship_BE)&lt;=0.025,Ship_CostNcmp,NA()),NA())</f>
        <v>#N/A</v>
      </c>
      <c r="G289" s="38" t="e">
        <f>IF(ABS($B289-Ship_SW)&lt;=0.025,MAX(Ship_BOG*10+Ship_FixedL,Ship_CostNcmp),NA())</f>
        <v>#N/A</v>
      </c>
      <c r="H289" s="39">
        <f>IF(MOD(67,20)=0,TEXT($B289,"0"),"")</f>
        <v/>
      </c>
    </row>
    <row r="290" spans="2:8" ht="17" customHeight="1">
      <c r="B290" s="36">
        <v>3.4</v>
      </c>
      <c r="C290" s="38">
        <f>Ship_BOG*$B290+Ship_FixedL</f>
        <v>42022.1268292683</v>
      </c>
      <c r="D290" s="38">
        <f>Ship_CostNcmp</f>
        <v>38593.5483870968</v>
      </c>
      <c r="E290" s="38" t="e">
        <f>IF(ABS($B290-Ship_P_H2)&lt;=0.025,C290,NA())</f>
        <v>#N/A</v>
      </c>
      <c r="F290" s="38" t="e">
        <f>IF(ISNUMBER(Ship_BE),IF(ABS($B290-Ship_BE)&lt;=0.025,Ship_CostNcmp,NA()),NA())</f>
        <v>#N/A</v>
      </c>
      <c r="G290" s="38" t="e">
        <f>IF(ABS($B290-Ship_SW)&lt;=0.025,MAX(Ship_BOG*10+Ship_FixedL,Ship_CostNcmp),NA())</f>
        <v>#N/A</v>
      </c>
      <c r="H290" s="39">
        <f>IF(MOD(68,20)=0,TEXT($B290,"0"),"")</f>
        <v/>
      </c>
    </row>
    <row r="291" spans="2:8" ht="17" customHeight="1">
      <c r="B291" s="36">
        <v>3.45</v>
      </c>
      <c r="C291" s="38">
        <f>Ship_BOG*$B291+Ship_FixedL</f>
        <v>42588.5268292683</v>
      </c>
      <c r="D291" s="38">
        <f>Ship_CostNcmp</f>
        <v>38593.5483870968</v>
      </c>
      <c r="E291" s="38" t="e">
        <f>IF(ABS($B291-Ship_P_H2)&lt;=0.025,C291,NA())</f>
        <v>#N/A</v>
      </c>
      <c r="F291" s="38" t="e">
        <f>IF(ISNUMBER(Ship_BE),IF(ABS($B291-Ship_BE)&lt;=0.025,Ship_CostNcmp,NA()),NA())</f>
        <v>#N/A</v>
      </c>
      <c r="G291" s="38" t="e">
        <f>IF(ABS($B291-Ship_SW)&lt;=0.025,MAX(Ship_BOG*10+Ship_FixedL,Ship_CostNcmp),NA())</f>
        <v>#N/A</v>
      </c>
      <c r="H291" s="39">
        <f>IF(MOD(69,20)=0,TEXT($B291,"0"),"")</f>
        <v/>
      </c>
    </row>
    <row r="292" spans="2:8" ht="17" customHeight="1">
      <c r="B292" s="36">
        <v>3.5</v>
      </c>
      <c r="C292" s="38">
        <f>Ship_BOG*$B292+Ship_FixedL</f>
        <v>43154.9268292683</v>
      </c>
      <c r="D292" s="38">
        <f>Ship_CostNcmp</f>
        <v>38593.5483870968</v>
      </c>
      <c r="E292" s="38" t="e">
        <f>IF(ABS($B292-Ship_P_H2)&lt;=0.025,C292,NA())</f>
        <v>#N/A</v>
      </c>
      <c r="F292" s="38" t="e">
        <f>IF(ISNUMBER(Ship_BE),IF(ABS($B292-Ship_BE)&lt;=0.025,Ship_CostNcmp,NA()),NA())</f>
        <v>#N/A</v>
      </c>
      <c r="G292" s="38" t="e">
        <f>IF(ABS($B292-Ship_SW)&lt;=0.025,MAX(Ship_BOG*10+Ship_FixedL,Ship_CostNcmp),NA())</f>
        <v>#N/A</v>
      </c>
      <c r="H292" s="39">
        <f>IF(MOD(70,20)=0,TEXT($B292,"0"),"")</f>
        <v/>
      </c>
    </row>
    <row r="293" spans="2:8" ht="17" customHeight="1">
      <c r="B293" s="36">
        <v>3.55</v>
      </c>
      <c r="C293" s="38">
        <f>Ship_BOG*$B293+Ship_FixedL</f>
        <v>43721.3268292683</v>
      </c>
      <c r="D293" s="38">
        <f>Ship_CostNcmp</f>
        <v>38593.5483870968</v>
      </c>
      <c r="E293" s="38" t="e">
        <f>IF(ABS($B293-Ship_P_H2)&lt;=0.025,C293,NA())</f>
        <v>#N/A</v>
      </c>
      <c r="F293" s="38" t="e">
        <f>IF(ISNUMBER(Ship_BE),IF(ABS($B293-Ship_BE)&lt;=0.025,Ship_CostNcmp,NA()),NA())</f>
        <v>#N/A</v>
      </c>
      <c r="G293" s="38" t="e">
        <f>IF(ABS($B293-Ship_SW)&lt;=0.025,MAX(Ship_BOG*10+Ship_FixedL,Ship_CostNcmp),NA())</f>
        <v>#N/A</v>
      </c>
      <c r="H293" s="39">
        <f>IF(MOD(71,20)=0,TEXT($B293,"0"),"")</f>
        <v/>
      </c>
    </row>
    <row r="294" spans="2:8" ht="17" customHeight="1">
      <c r="B294" s="36">
        <v>3.6</v>
      </c>
      <c r="C294" s="38">
        <f>Ship_BOG*$B294+Ship_FixedL</f>
        <v>44287.7268292683</v>
      </c>
      <c r="D294" s="38">
        <f>Ship_CostNcmp</f>
        <v>38593.5483870968</v>
      </c>
      <c r="E294" s="38" t="e">
        <f>IF(ABS($B294-Ship_P_H2)&lt;=0.025,C294,NA())</f>
        <v>#N/A</v>
      </c>
      <c r="F294" s="38" t="e">
        <f>IF(ISNUMBER(Ship_BE),IF(ABS($B294-Ship_BE)&lt;=0.025,Ship_CostNcmp,NA()),NA())</f>
        <v>#N/A</v>
      </c>
      <c r="G294" s="38" t="e">
        <f>IF(ABS($B294-Ship_SW)&lt;=0.025,MAX(Ship_BOG*10+Ship_FixedL,Ship_CostNcmp),NA())</f>
        <v>#N/A</v>
      </c>
      <c r="H294" s="39">
        <f>IF(MOD(72,20)=0,TEXT($B294,"0"),"")</f>
        <v/>
      </c>
    </row>
    <row r="295" spans="2:8" ht="17" customHeight="1">
      <c r="B295" s="36">
        <v>3.65</v>
      </c>
      <c r="C295" s="38">
        <f>Ship_BOG*$B295+Ship_FixedL</f>
        <v>44854.1268292683</v>
      </c>
      <c r="D295" s="38">
        <f>Ship_CostNcmp</f>
        <v>38593.5483870968</v>
      </c>
      <c r="E295" s="38" t="e">
        <f>IF(ABS($B295-Ship_P_H2)&lt;=0.025,C295,NA())</f>
        <v>#N/A</v>
      </c>
      <c r="F295" s="38" t="e">
        <f>IF(ISNUMBER(Ship_BE),IF(ABS($B295-Ship_BE)&lt;=0.025,Ship_CostNcmp,NA()),NA())</f>
        <v>#N/A</v>
      </c>
      <c r="G295" s="38" t="e">
        <f>IF(ABS($B295-Ship_SW)&lt;=0.025,MAX(Ship_BOG*10+Ship_FixedL,Ship_CostNcmp),NA())</f>
        <v>#N/A</v>
      </c>
      <c r="H295" s="39">
        <f>IF(MOD(73,20)=0,TEXT($B295,"0"),"")</f>
        <v/>
      </c>
    </row>
    <row r="296" spans="2:8" ht="17" customHeight="1">
      <c r="B296" s="36">
        <v>3.7</v>
      </c>
      <c r="C296" s="38">
        <f>Ship_BOG*$B296+Ship_FixedL</f>
        <v>45420.5268292683</v>
      </c>
      <c r="D296" s="38">
        <f>Ship_CostNcmp</f>
        <v>38593.5483870968</v>
      </c>
      <c r="E296" s="38" t="e">
        <f>IF(ABS($B296-Ship_P_H2)&lt;=0.025,C296,NA())</f>
        <v>#N/A</v>
      </c>
      <c r="F296" s="38" t="e">
        <f>IF(ISNUMBER(Ship_BE),IF(ABS($B296-Ship_BE)&lt;=0.025,Ship_CostNcmp,NA()),NA())</f>
        <v>#N/A</v>
      </c>
      <c r="G296" s="38" t="e">
        <f>IF(ABS($B296-Ship_SW)&lt;=0.025,MAX(Ship_BOG*10+Ship_FixedL,Ship_CostNcmp),NA())</f>
        <v>#N/A</v>
      </c>
      <c r="H296" s="39">
        <f>IF(MOD(74,20)=0,TEXT($B296,"0"),"")</f>
        <v/>
      </c>
    </row>
    <row r="297" spans="2:8" ht="17" customHeight="1">
      <c r="B297" s="36">
        <v>3.75</v>
      </c>
      <c r="C297" s="38">
        <f>Ship_BOG*$B297+Ship_FixedL</f>
        <v>45986.9268292683</v>
      </c>
      <c r="D297" s="38">
        <f>Ship_CostNcmp</f>
        <v>38593.5483870968</v>
      </c>
      <c r="E297" s="38" t="e">
        <f>IF(ABS($B297-Ship_P_H2)&lt;=0.025,C297,NA())</f>
        <v>#N/A</v>
      </c>
      <c r="F297" s="38" t="e">
        <f>IF(ISNUMBER(Ship_BE),IF(ABS($B297-Ship_BE)&lt;=0.025,Ship_CostNcmp,NA()),NA())</f>
        <v>#N/A</v>
      </c>
      <c r="G297" s="38" t="e">
        <f>IF(ABS($B297-Ship_SW)&lt;=0.025,MAX(Ship_BOG*10+Ship_FixedL,Ship_CostNcmp),NA())</f>
        <v>#N/A</v>
      </c>
      <c r="H297" s="39">
        <f>IF(MOD(75,20)=0,TEXT($B297,"0"),"")</f>
        <v/>
      </c>
    </row>
    <row r="298" spans="2:8" ht="17" customHeight="1">
      <c r="B298" s="36">
        <v>3.8</v>
      </c>
      <c r="C298" s="38">
        <f>Ship_BOG*$B298+Ship_FixedL</f>
        <v>46553.3268292683</v>
      </c>
      <c r="D298" s="38">
        <f>Ship_CostNcmp</f>
        <v>38593.5483870968</v>
      </c>
      <c r="E298" s="38" t="e">
        <f>IF(ABS($B298-Ship_P_H2)&lt;=0.025,C298,NA())</f>
        <v>#N/A</v>
      </c>
      <c r="F298" s="38" t="e">
        <f>IF(ISNUMBER(Ship_BE),IF(ABS($B298-Ship_BE)&lt;=0.025,Ship_CostNcmp,NA()),NA())</f>
        <v>#N/A</v>
      </c>
      <c r="G298" s="38" t="e">
        <f>IF(ABS($B298-Ship_SW)&lt;=0.025,MAX(Ship_BOG*10+Ship_FixedL,Ship_CostNcmp),NA())</f>
        <v>#N/A</v>
      </c>
      <c r="H298" s="39">
        <f>IF(MOD(76,20)=0,TEXT($B298,"0"),"")</f>
        <v/>
      </c>
    </row>
    <row r="299" spans="2:8" ht="17" customHeight="1">
      <c r="B299" s="36">
        <v>3.85</v>
      </c>
      <c r="C299" s="38">
        <f>Ship_BOG*$B299+Ship_FixedL</f>
        <v>47119.7268292683</v>
      </c>
      <c r="D299" s="38">
        <f>Ship_CostNcmp</f>
        <v>38593.5483870968</v>
      </c>
      <c r="E299" s="38" t="e">
        <f>IF(ABS($B299-Ship_P_H2)&lt;=0.025,C299,NA())</f>
        <v>#N/A</v>
      </c>
      <c r="F299" s="38" t="e">
        <f>IF(ISNUMBER(Ship_BE),IF(ABS($B299-Ship_BE)&lt;=0.025,Ship_CostNcmp,NA()),NA())</f>
        <v>#N/A</v>
      </c>
      <c r="G299" s="38" t="e">
        <f>IF(ABS($B299-Ship_SW)&lt;=0.025,MAX(Ship_BOG*10+Ship_FixedL,Ship_CostNcmp),NA())</f>
        <v>#N/A</v>
      </c>
      <c r="H299" s="39">
        <f>IF(MOD(77,20)=0,TEXT($B299,"0"),"")</f>
        <v/>
      </c>
    </row>
    <row r="300" spans="2:8" ht="17" customHeight="1">
      <c r="B300" s="36">
        <v>3.9</v>
      </c>
      <c r="C300" s="38">
        <f>Ship_BOG*$B300+Ship_FixedL</f>
        <v>47686.1268292683</v>
      </c>
      <c r="D300" s="38">
        <f>Ship_CostNcmp</f>
        <v>38593.5483870968</v>
      </c>
      <c r="E300" s="38" t="e">
        <f>IF(ABS($B300-Ship_P_H2)&lt;=0.025,C300,NA())</f>
        <v>#N/A</v>
      </c>
      <c r="F300" s="38" t="e">
        <f>IF(ISNUMBER(Ship_BE),IF(ABS($B300-Ship_BE)&lt;=0.025,Ship_CostNcmp,NA()),NA())</f>
        <v>#N/A</v>
      </c>
      <c r="G300" s="38" t="e">
        <f>IF(ABS($B300-Ship_SW)&lt;=0.025,MAX(Ship_BOG*10+Ship_FixedL,Ship_CostNcmp),NA())</f>
        <v>#N/A</v>
      </c>
      <c r="H300" s="39">
        <f>IF(MOD(78,20)=0,TEXT($B300,"0"),"")</f>
        <v/>
      </c>
    </row>
    <row r="301" spans="2:8" ht="17" customHeight="1">
      <c r="B301" s="36">
        <v>3.95</v>
      </c>
      <c r="C301" s="38">
        <f>Ship_BOG*$B301+Ship_FixedL</f>
        <v>48252.5268292683</v>
      </c>
      <c r="D301" s="38">
        <f>Ship_CostNcmp</f>
        <v>38593.5483870968</v>
      </c>
      <c r="E301" s="38" t="e">
        <f>IF(ABS($B301-Ship_P_H2)&lt;=0.025,C301,NA())</f>
        <v>#N/A</v>
      </c>
      <c r="F301" s="38" t="e">
        <f>IF(ISNUMBER(Ship_BE),IF(ABS($B301-Ship_BE)&lt;=0.025,Ship_CostNcmp,NA()),NA())</f>
        <v>#N/A</v>
      </c>
      <c r="G301" s="38" t="e">
        <f>IF(ABS($B301-Ship_SW)&lt;=0.025,MAX(Ship_BOG*10+Ship_FixedL,Ship_CostNcmp),NA())</f>
        <v>#N/A</v>
      </c>
      <c r="H301" s="39">
        <f>IF(MOD(79,20)=0,TEXT($B301,"0"),"")</f>
        <v/>
      </c>
    </row>
    <row r="302" spans="2:8" ht="17" customHeight="1">
      <c r="B302" s="36">
        <v>4</v>
      </c>
      <c r="C302" s="38">
        <f>Ship_BOG*$B302+Ship_FixedL</f>
        <v>48818.9268292683</v>
      </c>
      <c r="D302" s="38">
        <f>Ship_CostNcmp</f>
        <v>38593.5483870968</v>
      </c>
      <c r="E302" s="38">
        <f>IF(ABS($B302-Ship_P_H2)&lt;=0.025,C302,NA())</f>
        <v>48818.9268292683</v>
      </c>
      <c r="F302" s="38" t="e">
        <f>IF(ISNUMBER(Ship_BE),IF(ABS($B302-Ship_BE)&lt;=0.025,Ship_CostNcmp,NA()),NA())</f>
        <v>#N/A</v>
      </c>
      <c r="G302" s="38" t="e">
        <f>IF(ABS($B302-Ship_SW)&lt;=0.025,MAX(Ship_BOG*10+Ship_FixedL,Ship_CostNcmp),NA())</f>
        <v>#N/A</v>
      </c>
      <c r="H302" s="39" t="str">
        <f>IF(MOD(80,20)=0,TEXT($B302,"0"),"")</f>
        <v>4</v>
      </c>
    </row>
    <row r="303" spans="2:8" ht="17" customHeight="1">
      <c r="B303" s="36">
        <v>4.05</v>
      </c>
      <c r="C303" s="38">
        <f>Ship_BOG*$B303+Ship_FixedL</f>
        <v>49385.3268292683</v>
      </c>
      <c r="D303" s="38">
        <f>Ship_CostNcmp</f>
        <v>38593.5483870968</v>
      </c>
      <c r="E303" s="38" t="e">
        <f>IF(ABS($B303-Ship_P_H2)&lt;=0.025,C303,NA())</f>
        <v>#N/A</v>
      </c>
      <c r="F303" s="38" t="e">
        <f>IF(ISNUMBER(Ship_BE),IF(ABS($B303-Ship_BE)&lt;=0.025,Ship_CostNcmp,NA()),NA())</f>
        <v>#N/A</v>
      </c>
      <c r="G303" s="38" t="e">
        <f>IF(ABS($B303-Ship_SW)&lt;=0.025,MAX(Ship_BOG*10+Ship_FixedL,Ship_CostNcmp),NA())</f>
        <v>#N/A</v>
      </c>
      <c r="H303" s="39">
        <f>IF(MOD(81,20)=0,TEXT($B303,"0"),"")</f>
        <v/>
      </c>
    </row>
    <row r="304" spans="2:8" ht="17" customHeight="1">
      <c r="B304" s="36">
        <v>4.1</v>
      </c>
      <c r="C304" s="38">
        <f>Ship_BOG*$B304+Ship_FixedL</f>
        <v>49951.7268292683</v>
      </c>
      <c r="D304" s="38">
        <f>Ship_CostNcmp</f>
        <v>38593.5483870968</v>
      </c>
      <c r="E304" s="38" t="e">
        <f>IF(ABS($B304-Ship_P_H2)&lt;=0.025,C304,NA())</f>
        <v>#N/A</v>
      </c>
      <c r="F304" s="38" t="e">
        <f>IF(ISNUMBER(Ship_BE),IF(ABS($B304-Ship_BE)&lt;=0.025,Ship_CostNcmp,NA()),NA())</f>
        <v>#N/A</v>
      </c>
      <c r="G304" s="38" t="e">
        <f>IF(ABS($B304-Ship_SW)&lt;=0.025,MAX(Ship_BOG*10+Ship_FixedL,Ship_CostNcmp),NA())</f>
        <v>#N/A</v>
      </c>
      <c r="H304" s="39">
        <f>IF(MOD(82,20)=0,TEXT($B304,"0"),"")</f>
        <v/>
      </c>
    </row>
    <row r="305" spans="2:8" ht="17" customHeight="1">
      <c r="B305" s="36">
        <v>4.15</v>
      </c>
      <c r="C305" s="38">
        <f>Ship_BOG*$B305+Ship_FixedL</f>
        <v>50518.1268292683</v>
      </c>
      <c r="D305" s="38">
        <f>Ship_CostNcmp</f>
        <v>38593.5483870968</v>
      </c>
      <c r="E305" s="38" t="e">
        <f>IF(ABS($B305-Ship_P_H2)&lt;=0.025,C305,NA())</f>
        <v>#N/A</v>
      </c>
      <c r="F305" s="38" t="e">
        <f>IF(ISNUMBER(Ship_BE),IF(ABS($B305-Ship_BE)&lt;=0.025,Ship_CostNcmp,NA()),NA())</f>
        <v>#N/A</v>
      </c>
      <c r="G305" s="38" t="e">
        <f>IF(ABS($B305-Ship_SW)&lt;=0.025,MAX(Ship_BOG*10+Ship_FixedL,Ship_CostNcmp),NA())</f>
        <v>#N/A</v>
      </c>
      <c r="H305" s="39">
        <f>IF(MOD(83,20)=0,TEXT($B305,"0"),"")</f>
        <v/>
      </c>
    </row>
    <row r="306" spans="2:8" ht="17" customHeight="1">
      <c r="B306" s="36">
        <v>4.2</v>
      </c>
      <c r="C306" s="38">
        <f>Ship_BOG*$B306+Ship_FixedL</f>
        <v>51084.5268292683</v>
      </c>
      <c r="D306" s="38">
        <f>Ship_CostNcmp</f>
        <v>38593.5483870968</v>
      </c>
      <c r="E306" s="38" t="e">
        <f>IF(ABS($B306-Ship_P_H2)&lt;=0.025,C306,NA())</f>
        <v>#N/A</v>
      </c>
      <c r="F306" s="38" t="e">
        <f>IF(ISNUMBER(Ship_BE),IF(ABS($B306-Ship_BE)&lt;=0.025,Ship_CostNcmp,NA()),NA())</f>
        <v>#N/A</v>
      </c>
      <c r="G306" s="38" t="e">
        <f>IF(ABS($B306-Ship_SW)&lt;=0.025,MAX(Ship_BOG*10+Ship_FixedL,Ship_CostNcmp),NA())</f>
        <v>#N/A</v>
      </c>
      <c r="H306" s="39">
        <f>IF(MOD(84,20)=0,TEXT($B306,"0"),"")</f>
        <v/>
      </c>
    </row>
    <row r="307" spans="2:8" ht="17" customHeight="1">
      <c r="B307" s="36">
        <v>4.25</v>
      </c>
      <c r="C307" s="38">
        <f>Ship_BOG*$B307+Ship_FixedL</f>
        <v>51650.9268292683</v>
      </c>
      <c r="D307" s="38">
        <f>Ship_CostNcmp</f>
        <v>38593.5483870968</v>
      </c>
      <c r="E307" s="38" t="e">
        <f>IF(ABS($B307-Ship_P_H2)&lt;=0.025,C307,NA())</f>
        <v>#N/A</v>
      </c>
      <c r="F307" s="38" t="e">
        <f>IF(ISNUMBER(Ship_BE),IF(ABS($B307-Ship_BE)&lt;=0.025,Ship_CostNcmp,NA()),NA())</f>
        <v>#N/A</v>
      </c>
      <c r="G307" s="38" t="e">
        <f>IF(ABS($B307-Ship_SW)&lt;=0.025,MAX(Ship_BOG*10+Ship_FixedL,Ship_CostNcmp),NA())</f>
        <v>#N/A</v>
      </c>
      <c r="H307" s="39">
        <f>IF(MOD(85,20)=0,TEXT($B307,"0"),"")</f>
        <v/>
      </c>
    </row>
    <row r="308" spans="2:8" ht="17" customHeight="1">
      <c r="B308" s="36">
        <v>4.3</v>
      </c>
      <c r="C308" s="38">
        <f>Ship_BOG*$B308+Ship_FixedL</f>
        <v>52217.3268292683</v>
      </c>
      <c r="D308" s="38">
        <f>Ship_CostNcmp</f>
        <v>38593.5483870968</v>
      </c>
      <c r="E308" s="38" t="e">
        <f>IF(ABS($B308-Ship_P_H2)&lt;=0.025,C308,NA())</f>
        <v>#N/A</v>
      </c>
      <c r="F308" s="38" t="e">
        <f>IF(ISNUMBER(Ship_BE),IF(ABS($B308-Ship_BE)&lt;=0.025,Ship_CostNcmp,NA()),NA())</f>
        <v>#N/A</v>
      </c>
      <c r="G308" s="38" t="e">
        <f>IF(ABS($B308-Ship_SW)&lt;=0.025,MAX(Ship_BOG*10+Ship_FixedL,Ship_CostNcmp),NA())</f>
        <v>#N/A</v>
      </c>
      <c r="H308" s="39">
        <f>IF(MOD(86,20)=0,TEXT($B308,"0"),"")</f>
        <v/>
      </c>
    </row>
    <row r="309" spans="2:8" ht="17" customHeight="1">
      <c r="B309" s="36">
        <v>4.35</v>
      </c>
      <c r="C309" s="38">
        <f>Ship_BOG*$B309+Ship_FixedL</f>
        <v>52783.7268292683</v>
      </c>
      <c r="D309" s="38">
        <f>Ship_CostNcmp</f>
        <v>38593.5483870968</v>
      </c>
      <c r="E309" s="38" t="e">
        <f>IF(ABS($B309-Ship_P_H2)&lt;=0.025,C309,NA())</f>
        <v>#N/A</v>
      </c>
      <c r="F309" s="38" t="e">
        <f>IF(ISNUMBER(Ship_BE),IF(ABS($B309-Ship_BE)&lt;=0.025,Ship_CostNcmp,NA()),NA())</f>
        <v>#N/A</v>
      </c>
      <c r="G309" s="38" t="e">
        <f>IF(ABS($B309-Ship_SW)&lt;=0.025,MAX(Ship_BOG*10+Ship_FixedL,Ship_CostNcmp),NA())</f>
        <v>#N/A</v>
      </c>
      <c r="H309" s="39">
        <f>IF(MOD(87,20)=0,TEXT($B309,"0"),"")</f>
        <v/>
      </c>
    </row>
    <row r="310" spans="2:8" ht="17" customHeight="1">
      <c r="B310" s="36">
        <v>4.4</v>
      </c>
      <c r="C310" s="38">
        <f>Ship_BOG*$B310+Ship_FixedL</f>
        <v>53350.1268292683</v>
      </c>
      <c r="D310" s="38">
        <f>Ship_CostNcmp</f>
        <v>38593.5483870968</v>
      </c>
      <c r="E310" s="38" t="e">
        <f>IF(ABS($B310-Ship_P_H2)&lt;=0.025,C310,NA())</f>
        <v>#N/A</v>
      </c>
      <c r="F310" s="38" t="e">
        <f>IF(ISNUMBER(Ship_BE),IF(ABS($B310-Ship_BE)&lt;=0.025,Ship_CostNcmp,NA()),NA())</f>
        <v>#N/A</v>
      </c>
      <c r="G310" s="38" t="e">
        <f>IF(ABS($B310-Ship_SW)&lt;=0.025,MAX(Ship_BOG*10+Ship_FixedL,Ship_CostNcmp),NA())</f>
        <v>#N/A</v>
      </c>
      <c r="H310" s="39">
        <f>IF(MOD(88,20)=0,TEXT($B310,"0"),"")</f>
        <v/>
      </c>
    </row>
    <row r="311" spans="2:8" ht="17" customHeight="1">
      <c r="B311" s="36">
        <v>4.45</v>
      </c>
      <c r="C311" s="38">
        <f>Ship_BOG*$B311+Ship_FixedL</f>
        <v>53916.5268292683</v>
      </c>
      <c r="D311" s="38">
        <f>Ship_CostNcmp</f>
        <v>38593.5483870968</v>
      </c>
      <c r="E311" s="38" t="e">
        <f>IF(ABS($B311-Ship_P_H2)&lt;=0.025,C311,NA())</f>
        <v>#N/A</v>
      </c>
      <c r="F311" s="38" t="e">
        <f>IF(ISNUMBER(Ship_BE),IF(ABS($B311-Ship_BE)&lt;=0.025,Ship_CostNcmp,NA()),NA())</f>
        <v>#N/A</v>
      </c>
      <c r="G311" s="38" t="e">
        <f>IF(ABS($B311-Ship_SW)&lt;=0.025,MAX(Ship_BOG*10+Ship_FixedL,Ship_CostNcmp),NA())</f>
        <v>#N/A</v>
      </c>
      <c r="H311" s="39">
        <f>IF(MOD(89,20)=0,TEXT($B311,"0"),"")</f>
        <v/>
      </c>
    </row>
    <row r="312" spans="2:8" ht="17" customHeight="1">
      <c r="B312" s="36">
        <v>4.5</v>
      </c>
      <c r="C312" s="38">
        <f>Ship_BOG*$B312+Ship_FixedL</f>
        <v>54482.9268292683</v>
      </c>
      <c r="D312" s="38">
        <f>Ship_CostNcmp</f>
        <v>38593.5483870968</v>
      </c>
      <c r="E312" s="38" t="e">
        <f>IF(ABS($B312-Ship_P_H2)&lt;=0.025,C312,NA())</f>
        <v>#N/A</v>
      </c>
      <c r="F312" s="38" t="e">
        <f>IF(ISNUMBER(Ship_BE),IF(ABS($B312-Ship_BE)&lt;=0.025,Ship_CostNcmp,NA()),NA())</f>
        <v>#N/A</v>
      </c>
      <c r="G312" s="38" t="e">
        <f>IF(ABS($B312-Ship_SW)&lt;=0.025,MAX(Ship_BOG*10+Ship_FixedL,Ship_CostNcmp),NA())</f>
        <v>#N/A</v>
      </c>
      <c r="H312" s="39">
        <f>IF(MOD(90,20)=0,TEXT($B312,"0"),"")</f>
        <v/>
      </c>
    </row>
    <row r="313" spans="2:8" ht="17" customHeight="1">
      <c r="B313" s="36">
        <v>4.55</v>
      </c>
      <c r="C313" s="38">
        <f>Ship_BOG*$B313+Ship_FixedL</f>
        <v>55049.3268292683</v>
      </c>
      <c r="D313" s="38">
        <f>Ship_CostNcmp</f>
        <v>38593.5483870968</v>
      </c>
      <c r="E313" s="38" t="e">
        <f>IF(ABS($B313-Ship_P_H2)&lt;=0.025,C313,NA())</f>
        <v>#N/A</v>
      </c>
      <c r="F313" s="38" t="e">
        <f>IF(ISNUMBER(Ship_BE),IF(ABS($B313-Ship_BE)&lt;=0.025,Ship_CostNcmp,NA()),NA())</f>
        <v>#N/A</v>
      </c>
      <c r="G313" s="38" t="e">
        <f>IF(ABS($B313-Ship_SW)&lt;=0.025,MAX(Ship_BOG*10+Ship_FixedL,Ship_CostNcmp),NA())</f>
        <v>#N/A</v>
      </c>
      <c r="H313" s="39">
        <f>IF(MOD(91,20)=0,TEXT($B313,"0"),"")</f>
        <v/>
      </c>
    </row>
    <row r="314" spans="2:8" ht="17" customHeight="1">
      <c r="B314" s="36">
        <v>4.6</v>
      </c>
      <c r="C314" s="38">
        <f>Ship_BOG*$B314+Ship_FixedL</f>
        <v>55615.7268292683</v>
      </c>
      <c r="D314" s="38">
        <f>Ship_CostNcmp</f>
        <v>38593.5483870968</v>
      </c>
      <c r="E314" s="38" t="e">
        <f>IF(ABS($B314-Ship_P_H2)&lt;=0.025,C314,NA())</f>
        <v>#N/A</v>
      </c>
      <c r="F314" s="38" t="e">
        <f>IF(ISNUMBER(Ship_BE),IF(ABS($B314-Ship_BE)&lt;=0.025,Ship_CostNcmp,NA()),NA())</f>
        <v>#N/A</v>
      </c>
      <c r="G314" s="38" t="e">
        <f>IF(ABS($B314-Ship_SW)&lt;=0.025,MAX(Ship_BOG*10+Ship_FixedL,Ship_CostNcmp),NA())</f>
        <v>#N/A</v>
      </c>
      <c r="H314" s="39">
        <f>IF(MOD(92,20)=0,TEXT($B314,"0"),"")</f>
        <v/>
      </c>
    </row>
    <row r="315" spans="2:8" ht="17" customHeight="1">
      <c r="B315" s="36">
        <v>4.65</v>
      </c>
      <c r="C315" s="38">
        <f>Ship_BOG*$B315+Ship_FixedL</f>
        <v>56182.1268292683</v>
      </c>
      <c r="D315" s="38">
        <f>Ship_CostNcmp</f>
        <v>38593.5483870968</v>
      </c>
      <c r="E315" s="38" t="e">
        <f>IF(ABS($B315-Ship_P_H2)&lt;=0.025,C315,NA())</f>
        <v>#N/A</v>
      </c>
      <c r="F315" s="38" t="e">
        <f>IF(ISNUMBER(Ship_BE),IF(ABS($B315-Ship_BE)&lt;=0.025,Ship_CostNcmp,NA()),NA())</f>
        <v>#N/A</v>
      </c>
      <c r="G315" s="38" t="e">
        <f>IF(ABS($B315-Ship_SW)&lt;=0.025,MAX(Ship_BOG*10+Ship_FixedL,Ship_CostNcmp),NA())</f>
        <v>#N/A</v>
      </c>
      <c r="H315" s="39">
        <f>IF(MOD(93,20)=0,TEXT($B315,"0"),"")</f>
        <v/>
      </c>
    </row>
    <row r="316" spans="2:8" ht="17" customHeight="1">
      <c r="B316" s="36">
        <v>4.7</v>
      </c>
      <c r="C316" s="38">
        <f>Ship_BOG*$B316+Ship_FixedL</f>
        <v>56748.5268292683</v>
      </c>
      <c r="D316" s="38">
        <f>Ship_CostNcmp</f>
        <v>38593.5483870968</v>
      </c>
      <c r="E316" s="38" t="e">
        <f>IF(ABS($B316-Ship_P_H2)&lt;=0.025,C316,NA())</f>
        <v>#N/A</v>
      </c>
      <c r="F316" s="38" t="e">
        <f>IF(ISNUMBER(Ship_BE),IF(ABS($B316-Ship_BE)&lt;=0.025,Ship_CostNcmp,NA()),NA())</f>
        <v>#N/A</v>
      </c>
      <c r="G316" s="38" t="e">
        <f>IF(ABS($B316-Ship_SW)&lt;=0.025,MAX(Ship_BOG*10+Ship_FixedL,Ship_CostNcmp),NA())</f>
        <v>#N/A</v>
      </c>
      <c r="H316" s="39">
        <f>IF(MOD(94,20)=0,TEXT($B316,"0"),"")</f>
        <v/>
      </c>
    </row>
    <row r="317" spans="2:8" ht="17" customHeight="1">
      <c r="B317" s="36">
        <v>4.75</v>
      </c>
      <c r="C317" s="38">
        <f>Ship_BOG*$B317+Ship_FixedL</f>
        <v>57314.9268292683</v>
      </c>
      <c r="D317" s="38">
        <f>Ship_CostNcmp</f>
        <v>38593.5483870968</v>
      </c>
      <c r="E317" s="38" t="e">
        <f>IF(ABS($B317-Ship_P_H2)&lt;=0.025,C317,NA())</f>
        <v>#N/A</v>
      </c>
      <c r="F317" s="38" t="e">
        <f>IF(ISNUMBER(Ship_BE),IF(ABS($B317-Ship_BE)&lt;=0.025,Ship_CostNcmp,NA()),NA())</f>
        <v>#N/A</v>
      </c>
      <c r="G317" s="38" t="e">
        <f>IF(ABS($B317-Ship_SW)&lt;=0.025,MAX(Ship_BOG*10+Ship_FixedL,Ship_CostNcmp),NA())</f>
        <v>#N/A</v>
      </c>
      <c r="H317" s="39">
        <f>IF(MOD(95,20)=0,TEXT($B317,"0"),"")</f>
        <v/>
      </c>
    </row>
    <row r="318" spans="2:8" ht="17" customHeight="1">
      <c r="B318" s="36">
        <v>4.8</v>
      </c>
      <c r="C318" s="38">
        <f>Ship_BOG*$B318+Ship_FixedL</f>
        <v>57881.3268292683</v>
      </c>
      <c r="D318" s="38">
        <f>Ship_CostNcmp</f>
        <v>38593.5483870968</v>
      </c>
      <c r="E318" s="38" t="e">
        <f>IF(ABS($B318-Ship_P_H2)&lt;=0.025,C318,NA())</f>
        <v>#N/A</v>
      </c>
      <c r="F318" s="38" t="e">
        <f>IF(ISNUMBER(Ship_BE),IF(ABS($B318-Ship_BE)&lt;=0.025,Ship_CostNcmp,NA()),NA())</f>
        <v>#N/A</v>
      </c>
      <c r="G318" s="38" t="e">
        <f>IF(ABS($B318-Ship_SW)&lt;=0.025,MAX(Ship_BOG*10+Ship_FixedL,Ship_CostNcmp),NA())</f>
        <v>#N/A</v>
      </c>
      <c r="H318" s="39">
        <f>IF(MOD(96,20)=0,TEXT($B318,"0"),"")</f>
        <v/>
      </c>
    </row>
    <row r="319" spans="2:8" ht="17" customHeight="1">
      <c r="B319" s="36">
        <v>4.85</v>
      </c>
      <c r="C319" s="38">
        <f>Ship_BOG*$B319+Ship_FixedL</f>
        <v>58447.7268292683</v>
      </c>
      <c r="D319" s="38">
        <f>Ship_CostNcmp</f>
        <v>38593.5483870968</v>
      </c>
      <c r="E319" s="38" t="e">
        <f>IF(ABS($B319-Ship_P_H2)&lt;=0.025,C319,NA())</f>
        <v>#N/A</v>
      </c>
      <c r="F319" s="38" t="e">
        <f>IF(ISNUMBER(Ship_BE),IF(ABS($B319-Ship_BE)&lt;=0.025,Ship_CostNcmp,NA()),NA())</f>
        <v>#N/A</v>
      </c>
      <c r="G319" s="38" t="e">
        <f>IF(ABS($B319-Ship_SW)&lt;=0.025,MAX(Ship_BOG*10+Ship_FixedL,Ship_CostNcmp),NA())</f>
        <v>#N/A</v>
      </c>
      <c r="H319" s="39">
        <f>IF(MOD(97,20)=0,TEXT($B319,"0"),"")</f>
        <v/>
      </c>
    </row>
    <row r="320" spans="2:8" ht="17" customHeight="1">
      <c r="B320" s="36">
        <v>4.9</v>
      </c>
      <c r="C320" s="38">
        <f>Ship_BOG*$B320+Ship_FixedL</f>
        <v>59014.1268292683</v>
      </c>
      <c r="D320" s="38">
        <f>Ship_CostNcmp</f>
        <v>38593.5483870968</v>
      </c>
      <c r="E320" s="38" t="e">
        <f>IF(ABS($B320-Ship_P_H2)&lt;=0.025,C320,NA())</f>
        <v>#N/A</v>
      </c>
      <c r="F320" s="38" t="e">
        <f>IF(ISNUMBER(Ship_BE),IF(ABS($B320-Ship_BE)&lt;=0.025,Ship_CostNcmp,NA()),NA())</f>
        <v>#N/A</v>
      </c>
      <c r="G320" s="38" t="e">
        <f>IF(ABS($B320-Ship_SW)&lt;=0.025,MAX(Ship_BOG*10+Ship_FixedL,Ship_CostNcmp),NA())</f>
        <v>#N/A</v>
      </c>
      <c r="H320" s="39">
        <f>IF(MOD(98,20)=0,TEXT($B320,"0"),"")</f>
        <v/>
      </c>
    </row>
    <row r="321" spans="2:8" ht="17" customHeight="1">
      <c r="B321" s="36">
        <v>4.95</v>
      </c>
      <c r="C321" s="38">
        <f>Ship_BOG*$B321+Ship_FixedL</f>
        <v>59580.5268292683</v>
      </c>
      <c r="D321" s="38">
        <f>Ship_CostNcmp</f>
        <v>38593.5483870968</v>
      </c>
      <c r="E321" s="38" t="e">
        <f>IF(ABS($B321-Ship_P_H2)&lt;=0.025,C321,NA())</f>
        <v>#N/A</v>
      </c>
      <c r="F321" s="38" t="e">
        <f>IF(ISNUMBER(Ship_BE),IF(ABS($B321-Ship_BE)&lt;=0.025,Ship_CostNcmp,NA()),NA())</f>
        <v>#N/A</v>
      </c>
      <c r="G321" s="38" t="e">
        <f>IF(ABS($B321-Ship_SW)&lt;=0.025,MAX(Ship_BOG*10+Ship_FixedL,Ship_CostNcmp),NA())</f>
        <v>#N/A</v>
      </c>
      <c r="H321" s="39">
        <f>IF(MOD(99,20)=0,TEXT($B321,"0"),"")</f>
        <v/>
      </c>
    </row>
    <row r="322" spans="2:8" ht="17" customHeight="1">
      <c r="B322" s="36">
        <v>5</v>
      </c>
      <c r="C322" s="38">
        <f>Ship_BOG*$B322+Ship_FixedL</f>
        <v>60146.9268292683</v>
      </c>
      <c r="D322" s="38">
        <f>Ship_CostNcmp</f>
        <v>38593.5483870968</v>
      </c>
      <c r="E322" s="38" t="e">
        <f>IF(ABS($B322-Ship_P_H2)&lt;=0.025,C322,NA())</f>
        <v>#N/A</v>
      </c>
      <c r="F322" s="38" t="e">
        <f>IF(ISNUMBER(Ship_BE),IF(ABS($B322-Ship_BE)&lt;=0.025,Ship_CostNcmp,NA()),NA())</f>
        <v>#N/A</v>
      </c>
      <c r="G322" s="38" t="e">
        <f>IF(ABS($B322-Ship_SW)&lt;=0.025,MAX(Ship_BOG*10+Ship_FixedL,Ship_CostNcmp),NA())</f>
        <v>#N/A</v>
      </c>
      <c r="H322" s="39" t="str">
        <f>IF(MOD(100,20)=0,TEXT($B322,"0"),"")</f>
        <v>5</v>
      </c>
    </row>
    <row r="323" spans="2:8" ht="17" customHeight="1">
      <c r="B323" s="36">
        <v>5.05</v>
      </c>
      <c r="C323" s="38">
        <f>Ship_BOG*$B323+Ship_FixedL</f>
        <v>60713.3268292683</v>
      </c>
      <c r="D323" s="38">
        <f>Ship_CostNcmp</f>
        <v>38593.5483870968</v>
      </c>
      <c r="E323" s="38" t="e">
        <f>IF(ABS($B323-Ship_P_H2)&lt;=0.025,C323,NA())</f>
        <v>#N/A</v>
      </c>
      <c r="F323" s="38" t="e">
        <f>IF(ISNUMBER(Ship_BE),IF(ABS($B323-Ship_BE)&lt;=0.025,Ship_CostNcmp,NA()),NA())</f>
        <v>#N/A</v>
      </c>
      <c r="G323" s="38" t="e">
        <f>IF(ABS($B323-Ship_SW)&lt;=0.025,MAX(Ship_BOG*10+Ship_FixedL,Ship_CostNcmp),NA())</f>
        <v>#N/A</v>
      </c>
      <c r="H323" s="39">
        <f>IF(MOD(101,20)=0,TEXT($B323,"0"),"")</f>
        <v/>
      </c>
    </row>
    <row r="324" spans="2:8" ht="17" customHeight="1">
      <c r="B324" s="36">
        <v>5.1</v>
      </c>
      <c r="C324" s="38">
        <f>Ship_BOG*$B324+Ship_FixedL</f>
        <v>61279.7268292683</v>
      </c>
      <c r="D324" s="38">
        <f>Ship_CostNcmp</f>
        <v>38593.5483870968</v>
      </c>
      <c r="E324" s="38" t="e">
        <f>IF(ABS($B324-Ship_P_H2)&lt;=0.025,C324,NA())</f>
        <v>#N/A</v>
      </c>
      <c r="F324" s="38" t="e">
        <f>IF(ISNUMBER(Ship_BE),IF(ABS($B324-Ship_BE)&lt;=0.025,Ship_CostNcmp,NA()),NA())</f>
        <v>#N/A</v>
      </c>
      <c r="G324" s="38" t="e">
        <f>IF(ABS($B324-Ship_SW)&lt;=0.025,MAX(Ship_BOG*10+Ship_FixedL,Ship_CostNcmp),NA())</f>
        <v>#N/A</v>
      </c>
      <c r="H324" s="39">
        <f>IF(MOD(102,20)=0,TEXT($B324,"0"),"")</f>
        <v/>
      </c>
    </row>
    <row r="325" spans="2:8" ht="17" customHeight="1">
      <c r="B325" s="36">
        <v>5.15</v>
      </c>
      <c r="C325" s="38">
        <f>Ship_BOG*$B325+Ship_FixedL</f>
        <v>61846.1268292683</v>
      </c>
      <c r="D325" s="38">
        <f>Ship_CostNcmp</f>
        <v>38593.5483870968</v>
      </c>
      <c r="E325" s="38" t="e">
        <f>IF(ABS($B325-Ship_P_H2)&lt;=0.025,C325,NA())</f>
        <v>#N/A</v>
      </c>
      <c r="F325" s="38" t="e">
        <f>IF(ISNUMBER(Ship_BE),IF(ABS($B325-Ship_BE)&lt;=0.025,Ship_CostNcmp,NA()),NA())</f>
        <v>#N/A</v>
      </c>
      <c r="G325" s="38" t="e">
        <f>IF(ABS($B325-Ship_SW)&lt;=0.025,MAX(Ship_BOG*10+Ship_FixedL,Ship_CostNcmp),NA())</f>
        <v>#N/A</v>
      </c>
      <c r="H325" s="39">
        <f>IF(MOD(103,20)=0,TEXT($B325,"0"),"")</f>
        <v/>
      </c>
    </row>
    <row r="326" spans="2:8" ht="17" customHeight="1">
      <c r="B326" s="36">
        <v>5.2</v>
      </c>
      <c r="C326" s="38">
        <f>Ship_BOG*$B326+Ship_FixedL</f>
        <v>62412.5268292683</v>
      </c>
      <c r="D326" s="38">
        <f>Ship_CostNcmp</f>
        <v>38593.5483870968</v>
      </c>
      <c r="E326" s="38" t="e">
        <f>IF(ABS($B326-Ship_P_H2)&lt;=0.025,C326,NA())</f>
        <v>#N/A</v>
      </c>
      <c r="F326" s="38" t="e">
        <f>IF(ISNUMBER(Ship_BE),IF(ABS($B326-Ship_BE)&lt;=0.025,Ship_CostNcmp,NA()),NA())</f>
        <v>#N/A</v>
      </c>
      <c r="G326" s="38" t="e">
        <f>IF(ABS($B326-Ship_SW)&lt;=0.025,MAX(Ship_BOG*10+Ship_FixedL,Ship_CostNcmp),NA())</f>
        <v>#N/A</v>
      </c>
      <c r="H326" s="39">
        <f>IF(MOD(104,20)=0,TEXT($B326,"0"),"")</f>
        <v/>
      </c>
    </row>
    <row r="327" spans="2:8" ht="17" customHeight="1">
      <c r="B327" s="36">
        <v>5.25</v>
      </c>
      <c r="C327" s="38">
        <f>Ship_BOG*$B327+Ship_FixedL</f>
        <v>62978.9268292683</v>
      </c>
      <c r="D327" s="38">
        <f>Ship_CostNcmp</f>
        <v>38593.5483870968</v>
      </c>
      <c r="E327" s="38" t="e">
        <f>IF(ABS($B327-Ship_P_H2)&lt;=0.025,C327,NA())</f>
        <v>#N/A</v>
      </c>
      <c r="F327" s="38" t="e">
        <f>IF(ISNUMBER(Ship_BE),IF(ABS($B327-Ship_BE)&lt;=0.025,Ship_CostNcmp,NA()),NA())</f>
        <v>#N/A</v>
      </c>
      <c r="G327" s="38" t="e">
        <f>IF(ABS($B327-Ship_SW)&lt;=0.025,MAX(Ship_BOG*10+Ship_FixedL,Ship_CostNcmp),NA())</f>
        <v>#N/A</v>
      </c>
      <c r="H327" s="39">
        <f>IF(MOD(105,20)=0,TEXT($B327,"0"),"")</f>
        <v/>
      </c>
    </row>
    <row r="328" spans="2:8" ht="17" customHeight="1">
      <c r="B328" s="36">
        <v>5.3</v>
      </c>
      <c r="C328" s="38">
        <f>Ship_BOG*$B328+Ship_FixedL</f>
        <v>63545.3268292683</v>
      </c>
      <c r="D328" s="38">
        <f>Ship_CostNcmp</f>
        <v>38593.5483870968</v>
      </c>
      <c r="E328" s="38" t="e">
        <f>IF(ABS($B328-Ship_P_H2)&lt;=0.025,C328,NA())</f>
        <v>#N/A</v>
      </c>
      <c r="F328" s="38" t="e">
        <f>IF(ISNUMBER(Ship_BE),IF(ABS($B328-Ship_BE)&lt;=0.025,Ship_CostNcmp,NA()),NA())</f>
        <v>#N/A</v>
      </c>
      <c r="G328" s="38" t="e">
        <f>IF(ABS($B328-Ship_SW)&lt;=0.025,MAX(Ship_BOG*10+Ship_FixedL,Ship_CostNcmp),NA())</f>
        <v>#N/A</v>
      </c>
      <c r="H328" s="39">
        <f>IF(MOD(106,20)=0,TEXT($B328,"0"),"")</f>
        <v/>
      </c>
    </row>
    <row r="329" spans="2:8" ht="17" customHeight="1">
      <c r="B329" s="36">
        <v>5.35</v>
      </c>
      <c r="C329" s="38">
        <f>Ship_BOG*$B329+Ship_FixedL</f>
        <v>64111.7268292683</v>
      </c>
      <c r="D329" s="38">
        <f>Ship_CostNcmp</f>
        <v>38593.5483870968</v>
      </c>
      <c r="E329" s="38" t="e">
        <f>IF(ABS($B329-Ship_P_H2)&lt;=0.025,C329,NA())</f>
        <v>#N/A</v>
      </c>
      <c r="F329" s="38" t="e">
        <f>IF(ISNUMBER(Ship_BE),IF(ABS($B329-Ship_BE)&lt;=0.025,Ship_CostNcmp,NA()),NA())</f>
        <v>#N/A</v>
      </c>
      <c r="G329" s="38" t="e">
        <f>IF(ABS($B329-Ship_SW)&lt;=0.025,MAX(Ship_BOG*10+Ship_FixedL,Ship_CostNcmp),NA())</f>
        <v>#N/A</v>
      </c>
      <c r="H329" s="39">
        <f>IF(MOD(107,20)=0,TEXT($B329,"0"),"")</f>
        <v/>
      </c>
    </row>
    <row r="330" spans="2:8" ht="17" customHeight="1">
      <c r="B330" s="36">
        <v>5.4</v>
      </c>
      <c r="C330" s="38">
        <f>Ship_BOG*$B330+Ship_FixedL</f>
        <v>64678.1268292683</v>
      </c>
      <c r="D330" s="38">
        <f>Ship_CostNcmp</f>
        <v>38593.5483870968</v>
      </c>
      <c r="E330" s="38" t="e">
        <f>IF(ABS($B330-Ship_P_H2)&lt;=0.025,C330,NA())</f>
        <v>#N/A</v>
      </c>
      <c r="F330" s="38" t="e">
        <f>IF(ISNUMBER(Ship_BE),IF(ABS($B330-Ship_BE)&lt;=0.025,Ship_CostNcmp,NA()),NA())</f>
        <v>#N/A</v>
      </c>
      <c r="G330" s="38" t="e">
        <f>IF(ABS($B330-Ship_SW)&lt;=0.025,MAX(Ship_BOG*10+Ship_FixedL,Ship_CostNcmp),NA())</f>
        <v>#N/A</v>
      </c>
      <c r="H330" s="39">
        <f>IF(MOD(108,20)=0,TEXT($B330,"0"),"")</f>
        <v/>
      </c>
    </row>
    <row r="331" spans="2:8" ht="17" customHeight="1">
      <c r="B331" s="36">
        <v>5.45</v>
      </c>
      <c r="C331" s="38">
        <f>Ship_BOG*$B331+Ship_FixedL</f>
        <v>65244.5268292683</v>
      </c>
      <c r="D331" s="38">
        <f>Ship_CostNcmp</f>
        <v>38593.5483870968</v>
      </c>
      <c r="E331" s="38" t="e">
        <f>IF(ABS($B331-Ship_P_H2)&lt;=0.025,C331,NA())</f>
        <v>#N/A</v>
      </c>
      <c r="F331" s="38" t="e">
        <f>IF(ISNUMBER(Ship_BE),IF(ABS($B331-Ship_BE)&lt;=0.025,Ship_CostNcmp,NA()),NA())</f>
        <v>#N/A</v>
      </c>
      <c r="G331" s="38" t="e">
        <f>IF(ABS($B331-Ship_SW)&lt;=0.025,MAX(Ship_BOG*10+Ship_FixedL,Ship_CostNcmp),NA())</f>
        <v>#N/A</v>
      </c>
      <c r="H331" s="39">
        <f>IF(MOD(109,20)=0,TEXT($B331,"0"),"")</f>
        <v/>
      </c>
    </row>
    <row r="332" spans="2:8" ht="17" customHeight="1">
      <c r="B332" s="36">
        <v>5.5</v>
      </c>
      <c r="C332" s="38">
        <f>Ship_BOG*$B332+Ship_FixedL</f>
        <v>65810.9268292683</v>
      </c>
      <c r="D332" s="38">
        <f>Ship_CostNcmp</f>
        <v>38593.5483870968</v>
      </c>
      <c r="E332" s="38" t="e">
        <f>IF(ABS($B332-Ship_P_H2)&lt;=0.025,C332,NA())</f>
        <v>#N/A</v>
      </c>
      <c r="F332" s="38" t="e">
        <f>IF(ISNUMBER(Ship_BE),IF(ABS($B332-Ship_BE)&lt;=0.025,Ship_CostNcmp,NA()),NA())</f>
        <v>#N/A</v>
      </c>
      <c r="G332" s="38" t="e">
        <f>IF(ABS($B332-Ship_SW)&lt;=0.025,MAX(Ship_BOG*10+Ship_FixedL,Ship_CostNcmp),NA())</f>
        <v>#N/A</v>
      </c>
      <c r="H332" s="39">
        <f>IF(MOD(110,20)=0,TEXT($B332,"0"),"")</f>
        <v/>
      </c>
    </row>
    <row r="333" spans="2:8" ht="17" customHeight="1">
      <c r="B333" s="36">
        <v>5.55</v>
      </c>
      <c r="C333" s="38">
        <f>Ship_BOG*$B333+Ship_FixedL</f>
        <v>66377.3268292683</v>
      </c>
      <c r="D333" s="38">
        <f>Ship_CostNcmp</f>
        <v>38593.5483870968</v>
      </c>
      <c r="E333" s="38" t="e">
        <f>IF(ABS($B333-Ship_P_H2)&lt;=0.025,C333,NA())</f>
        <v>#N/A</v>
      </c>
      <c r="F333" s="38" t="e">
        <f>IF(ISNUMBER(Ship_BE),IF(ABS($B333-Ship_BE)&lt;=0.025,Ship_CostNcmp,NA()),NA())</f>
        <v>#N/A</v>
      </c>
      <c r="G333" s="38" t="e">
        <f>IF(ABS($B333-Ship_SW)&lt;=0.025,MAX(Ship_BOG*10+Ship_FixedL,Ship_CostNcmp),NA())</f>
        <v>#N/A</v>
      </c>
      <c r="H333" s="39">
        <f>IF(MOD(111,20)=0,TEXT($B333,"0"),"")</f>
        <v/>
      </c>
    </row>
    <row r="334" spans="2:8" ht="17" customHeight="1">
      <c r="B334" s="36">
        <v>5.6</v>
      </c>
      <c r="C334" s="38">
        <f>Ship_BOG*$B334+Ship_FixedL</f>
        <v>66943.7268292683</v>
      </c>
      <c r="D334" s="38">
        <f>Ship_CostNcmp</f>
        <v>38593.5483870968</v>
      </c>
      <c r="E334" s="38" t="e">
        <f>IF(ABS($B334-Ship_P_H2)&lt;=0.025,C334,NA())</f>
        <v>#N/A</v>
      </c>
      <c r="F334" s="38" t="e">
        <f>IF(ISNUMBER(Ship_BE),IF(ABS($B334-Ship_BE)&lt;=0.025,Ship_CostNcmp,NA()),NA())</f>
        <v>#N/A</v>
      </c>
      <c r="G334" s="38" t="e">
        <f>IF(ABS($B334-Ship_SW)&lt;=0.025,MAX(Ship_BOG*10+Ship_FixedL,Ship_CostNcmp),NA())</f>
        <v>#N/A</v>
      </c>
      <c r="H334" s="39">
        <f>IF(MOD(112,20)=0,TEXT($B334,"0"),"")</f>
        <v/>
      </c>
    </row>
    <row r="335" spans="2:8" ht="17" customHeight="1">
      <c r="B335" s="36">
        <v>5.65</v>
      </c>
      <c r="C335" s="38">
        <f>Ship_BOG*$B335+Ship_FixedL</f>
        <v>67510.1268292683</v>
      </c>
      <c r="D335" s="38">
        <f>Ship_CostNcmp</f>
        <v>38593.5483870968</v>
      </c>
      <c r="E335" s="38" t="e">
        <f>IF(ABS($B335-Ship_P_H2)&lt;=0.025,C335,NA())</f>
        <v>#N/A</v>
      </c>
      <c r="F335" s="38" t="e">
        <f>IF(ISNUMBER(Ship_BE),IF(ABS($B335-Ship_BE)&lt;=0.025,Ship_CostNcmp,NA()),NA())</f>
        <v>#N/A</v>
      </c>
      <c r="G335" s="38" t="e">
        <f>IF(ABS($B335-Ship_SW)&lt;=0.025,MAX(Ship_BOG*10+Ship_FixedL,Ship_CostNcmp),NA())</f>
        <v>#N/A</v>
      </c>
      <c r="H335" s="39">
        <f>IF(MOD(113,20)=0,TEXT($B335,"0"),"")</f>
        <v/>
      </c>
    </row>
    <row r="336" spans="2:8" ht="17" customHeight="1">
      <c r="B336" s="36">
        <v>5.7</v>
      </c>
      <c r="C336" s="38">
        <f>Ship_BOG*$B336+Ship_FixedL</f>
        <v>68076.5268292683</v>
      </c>
      <c r="D336" s="38">
        <f>Ship_CostNcmp</f>
        <v>38593.5483870968</v>
      </c>
      <c r="E336" s="38" t="e">
        <f>IF(ABS($B336-Ship_P_H2)&lt;=0.025,C336,NA())</f>
        <v>#N/A</v>
      </c>
      <c r="F336" s="38" t="e">
        <f>IF(ISNUMBER(Ship_BE),IF(ABS($B336-Ship_BE)&lt;=0.025,Ship_CostNcmp,NA()),NA())</f>
        <v>#N/A</v>
      </c>
      <c r="G336" s="38" t="e">
        <f>IF(ABS($B336-Ship_SW)&lt;=0.025,MAX(Ship_BOG*10+Ship_FixedL,Ship_CostNcmp),NA())</f>
        <v>#N/A</v>
      </c>
      <c r="H336" s="39">
        <f>IF(MOD(114,20)=0,TEXT($B336,"0"),"")</f>
        <v/>
      </c>
    </row>
    <row r="337" spans="2:8" ht="17" customHeight="1">
      <c r="B337" s="36">
        <v>5.75</v>
      </c>
      <c r="C337" s="38">
        <f>Ship_BOG*$B337+Ship_FixedL</f>
        <v>68642.9268292683</v>
      </c>
      <c r="D337" s="38">
        <f>Ship_CostNcmp</f>
        <v>38593.5483870968</v>
      </c>
      <c r="E337" s="38" t="e">
        <f>IF(ABS($B337-Ship_P_H2)&lt;=0.025,C337,NA())</f>
        <v>#N/A</v>
      </c>
      <c r="F337" s="38" t="e">
        <f>IF(ISNUMBER(Ship_BE),IF(ABS($B337-Ship_BE)&lt;=0.025,Ship_CostNcmp,NA()),NA())</f>
        <v>#N/A</v>
      </c>
      <c r="G337" s="38" t="e">
        <f>IF(ABS($B337-Ship_SW)&lt;=0.025,MAX(Ship_BOG*10+Ship_FixedL,Ship_CostNcmp),NA())</f>
        <v>#N/A</v>
      </c>
      <c r="H337" s="39">
        <f>IF(MOD(115,20)=0,TEXT($B337,"0"),"")</f>
        <v/>
      </c>
    </row>
    <row r="338" spans="2:8" ht="17" customHeight="1">
      <c r="B338" s="36">
        <v>5.8</v>
      </c>
      <c r="C338" s="38">
        <f>Ship_BOG*$B338+Ship_FixedL</f>
        <v>69209.3268292683</v>
      </c>
      <c r="D338" s="38">
        <f>Ship_CostNcmp</f>
        <v>38593.5483870968</v>
      </c>
      <c r="E338" s="38" t="e">
        <f>IF(ABS($B338-Ship_P_H2)&lt;=0.025,C338,NA())</f>
        <v>#N/A</v>
      </c>
      <c r="F338" s="38" t="e">
        <f>IF(ISNUMBER(Ship_BE),IF(ABS($B338-Ship_BE)&lt;=0.025,Ship_CostNcmp,NA()),NA())</f>
        <v>#N/A</v>
      </c>
      <c r="G338" s="38" t="e">
        <f>IF(ABS($B338-Ship_SW)&lt;=0.025,MAX(Ship_BOG*10+Ship_FixedL,Ship_CostNcmp),NA())</f>
        <v>#N/A</v>
      </c>
      <c r="H338" s="39">
        <f>IF(MOD(116,20)=0,TEXT($B338,"0"),"")</f>
        <v/>
      </c>
    </row>
    <row r="339" spans="2:8" ht="17" customHeight="1">
      <c r="B339" s="36">
        <v>5.85</v>
      </c>
      <c r="C339" s="38">
        <f>Ship_BOG*$B339+Ship_FixedL</f>
        <v>69775.7268292683</v>
      </c>
      <c r="D339" s="38">
        <f>Ship_CostNcmp</f>
        <v>38593.5483870968</v>
      </c>
      <c r="E339" s="38" t="e">
        <f>IF(ABS($B339-Ship_P_H2)&lt;=0.025,C339,NA())</f>
        <v>#N/A</v>
      </c>
      <c r="F339" s="38" t="e">
        <f>IF(ISNUMBER(Ship_BE),IF(ABS($B339-Ship_BE)&lt;=0.025,Ship_CostNcmp,NA()),NA())</f>
        <v>#N/A</v>
      </c>
      <c r="G339" s="38" t="e">
        <f>IF(ABS($B339-Ship_SW)&lt;=0.025,MAX(Ship_BOG*10+Ship_FixedL,Ship_CostNcmp),NA())</f>
        <v>#N/A</v>
      </c>
      <c r="H339" s="39">
        <f>IF(MOD(117,20)=0,TEXT($B339,"0"),"")</f>
        <v/>
      </c>
    </row>
    <row r="340" spans="2:8" ht="17" customHeight="1">
      <c r="B340" s="36">
        <v>5.9</v>
      </c>
      <c r="C340" s="38">
        <f>Ship_BOG*$B340+Ship_FixedL</f>
        <v>70342.1268292683</v>
      </c>
      <c r="D340" s="38">
        <f>Ship_CostNcmp</f>
        <v>38593.5483870968</v>
      </c>
      <c r="E340" s="38" t="e">
        <f>IF(ABS($B340-Ship_P_H2)&lt;=0.025,C340,NA())</f>
        <v>#N/A</v>
      </c>
      <c r="F340" s="38" t="e">
        <f>IF(ISNUMBER(Ship_BE),IF(ABS($B340-Ship_BE)&lt;=0.025,Ship_CostNcmp,NA()),NA())</f>
        <v>#N/A</v>
      </c>
      <c r="G340" s="38" t="e">
        <f>IF(ABS($B340-Ship_SW)&lt;=0.025,MAX(Ship_BOG*10+Ship_FixedL,Ship_CostNcmp),NA())</f>
        <v>#N/A</v>
      </c>
      <c r="H340" s="39">
        <f>IF(MOD(118,20)=0,TEXT($B340,"0"),"")</f>
        <v/>
      </c>
    </row>
    <row r="341" spans="2:8" ht="17" customHeight="1">
      <c r="B341" s="36">
        <v>5.95</v>
      </c>
      <c r="C341" s="38">
        <f>Ship_BOG*$B341+Ship_FixedL</f>
        <v>70908.5268292683</v>
      </c>
      <c r="D341" s="38">
        <f>Ship_CostNcmp</f>
        <v>38593.5483870968</v>
      </c>
      <c r="E341" s="38" t="e">
        <f>IF(ABS($B341-Ship_P_H2)&lt;=0.025,C341,NA())</f>
        <v>#N/A</v>
      </c>
      <c r="F341" s="38" t="e">
        <f>IF(ISNUMBER(Ship_BE),IF(ABS($B341-Ship_BE)&lt;=0.025,Ship_CostNcmp,NA()),NA())</f>
        <v>#N/A</v>
      </c>
      <c r="G341" s="38" t="e">
        <f>IF(ABS($B341-Ship_SW)&lt;=0.025,MAX(Ship_BOG*10+Ship_FixedL,Ship_CostNcmp),NA())</f>
        <v>#N/A</v>
      </c>
      <c r="H341" s="39">
        <f>IF(MOD(119,20)=0,TEXT($B341,"0"),"")</f>
        <v/>
      </c>
    </row>
    <row r="342" spans="2:8" ht="17" customHeight="1">
      <c r="B342" s="36">
        <v>6</v>
      </c>
      <c r="C342" s="38">
        <f>Ship_BOG*$B342+Ship_FixedL</f>
        <v>71474.9268292683</v>
      </c>
      <c r="D342" s="38">
        <f>Ship_CostNcmp</f>
        <v>38593.5483870968</v>
      </c>
      <c r="E342" s="38" t="e">
        <f>IF(ABS($B342-Ship_P_H2)&lt;=0.025,C342,NA())</f>
        <v>#N/A</v>
      </c>
      <c r="F342" s="38" t="e">
        <f>IF(ISNUMBER(Ship_BE),IF(ABS($B342-Ship_BE)&lt;=0.025,Ship_CostNcmp,NA()),NA())</f>
        <v>#N/A</v>
      </c>
      <c r="G342" s="38" t="e">
        <f>IF(ABS($B342-Ship_SW)&lt;=0.025,MAX(Ship_BOG*10+Ship_FixedL,Ship_CostNcmp),NA())</f>
        <v>#N/A</v>
      </c>
      <c r="H342" s="39" t="str">
        <f>IF(MOD(120,20)=0,TEXT($B342,"0"),"")</f>
        <v>6</v>
      </c>
    </row>
    <row r="343" spans="2:8" ht="17" customHeight="1">
      <c r="B343" s="36">
        <v>6.05</v>
      </c>
      <c r="C343" s="38">
        <f>Ship_BOG*$B343+Ship_FixedL</f>
        <v>72041.3268292683</v>
      </c>
      <c r="D343" s="38">
        <f>Ship_CostNcmp</f>
        <v>38593.5483870968</v>
      </c>
      <c r="E343" s="38" t="e">
        <f>IF(ABS($B343-Ship_P_H2)&lt;=0.025,C343,NA())</f>
        <v>#N/A</v>
      </c>
      <c r="F343" s="38" t="e">
        <f>IF(ISNUMBER(Ship_BE),IF(ABS($B343-Ship_BE)&lt;=0.025,Ship_CostNcmp,NA()),NA())</f>
        <v>#N/A</v>
      </c>
      <c r="G343" s="38" t="e">
        <f>IF(ABS($B343-Ship_SW)&lt;=0.025,MAX(Ship_BOG*10+Ship_FixedL,Ship_CostNcmp),NA())</f>
        <v>#N/A</v>
      </c>
      <c r="H343" s="39">
        <f>IF(MOD(121,20)=0,TEXT($B343,"0"),"")</f>
        <v/>
      </c>
    </row>
    <row r="344" spans="2:8" ht="17" customHeight="1">
      <c r="B344" s="36">
        <v>6.1</v>
      </c>
      <c r="C344" s="38">
        <f>Ship_BOG*$B344+Ship_FixedL</f>
        <v>72607.7268292683</v>
      </c>
      <c r="D344" s="38">
        <f>Ship_CostNcmp</f>
        <v>38593.5483870968</v>
      </c>
      <c r="E344" s="38" t="e">
        <f>IF(ABS($B344-Ship_P_H2)&lt;=0.025,C344,NA())</f>
        <v>#N/A</v>
      </c>
      <c r="F344" s="38" t="e">
        <f>IF(ISNUMBER(Ship_BE),IF(ABS($B344-Ship_BE)&lt;=0.025,Ship_CostNcmp,NA()),NA())</f>
        <v>#N/A</v>
      </c>
      <c r="G344" s="38" t="e">
        <f>IF(ABS($B344-Ship_SW)&lt;=0.025,MAX(Ship_BOG*10+Ship_FixedL,Ship_CostNcmp),NA())</f>
        <v>#N/A</v>
      </c>
      <c r="H344" s="39">
        <f>IF(MOD(122,20)=0,TEXT($B344,"0"),"")</f>
        <v/>
      </c>
    </row>
    <row r="345" spans="2:8" ht="17" customHeight="1">
      <c r="B345" s="36">
        <v>6.15</v>
      </c>
      <c r="C345" s="38">
        <f>Ship_BOG*$B345+Ship_FixedL</f>
        <v>73174.1268292683</v>
      </c>
      <c r="D345" s="38">
        <f>Ship_CostNcmp</f>
        <v>38593.5483870968</v>
      </c>
      <c r="E345" s="38" t="e">
        <f>IF(ABS($B345-Ship_P_H2)&lt;=0.025,C345,NA())</f>
        <v>#N/A</v>
      </c>
      <c r="F345" s="38" t="e">
        <f>IF(ISNUMBER(Ship_BE),IF(ABS($B345-Ship_BE)&lt;=0.025,Ship_CostNcmp,NA()),NA())</f>
        <v>#N/A</v>
      </c>
      <c r="G345" s="38" t="e">
        <f>IF(ABS($B345-Ship_SW)&lt;=0.025,MAX(Ship_BOG*10+Ship_FixedL,Ship_CostNcmp),NA())</f>
        <v>#N/A</v>
      </c>
      <c r="H345" s="39">
        <f>IF(MOD(123,20)=0,TEXT($B345,"0"),"")</f>
        <v/>
      </c>
    </row>
    <row r="346" spans="2:8" ht="17" customHeight="1">
      <c r="B346" s="36">
        <v>6.2</v>
      </c>
      <c r="C346" s="38">
        <f>Ship_BOG*$B346+Ship_FixedL</f>
        <v>73740.5268292683</v>
      </c>
      <c r="D346" s="38">
        <f>Ship_CostNcmp</f>
        <v>38593.5483870968</v>
      </c>
      <c r="E346" s="38" t="e">
        <f>IF(ABS($B346-Ship_P_H2)&lt;=0.025,C346,NA())</f>
        <v>#N/A</v>
      </c>
      <c r="F346" s="38" t="e">
        <f>IF(ISNUMBER(Ship_BE),IF(ABS($B346-Ship_BE)&lt;=0.025,Ship_CostNcmp,NA()),NA())</f>
        <v>#N/A</v>
      </c>
      <c r="G346" s="38" t="e">
        <f>IF(ABS($B346-Ship_SW)&lt;=0.025,MAX(Ship_BOG*10+Ship_FixedL,Ship_CostNcmp),NA())</f>
        <v>#N/A</v>
      </c>
      <c r="H346" s="39">
        <f>IF(MOD(124,20)=0,TEXT($B346,"0"),"")</f>
        <v/>
      </c>
    </row>
    <row r="347" spans="2:8" ht="17" customHeight="1">
      <c r="B347" s="36">
        <v>6.25</v>
      </c>
      <c r="C347" s="38">
        <f>Ship_BOG*$B347+Ship_FixedL</f>
        <v>74306.9268292683</v>
      </c>
      <c r="D347" s="38">
        <f>Ship_CostNcmp</f>
        <v>38593.5483870968</v>
      </c>
      <c r="E347" s="38" t="e">
        <f>IF(ABS($B347-Ship_P_H2)&lt;=0.025,C347,NA())</f>
        <v>#N/A</v>
      </c>
      <c r="F347" s="38" t="e">
        <f>IF(ISNUMBER(Ship_BE),IF(ABS($B347-Ship_BE)&lt;=0.025,Ship_CostNcmp,NA()),NA())</f>
        <v>#N/A</v>
      </c>
      <c r="G347" s="38" t="e">
        <f>IF(ABS($B347-Ship_SW)&lt;=0.025,MAX(Ship_BOG*10+Ship_FixedL,Ship_CostNcmp),NA())</f>
        <v>#N/A</v>
      </c>
      <c r="H347" s="39">
        <f>IF(MOD(125,20)=0,TEXT($B347,"0"),"")</f>
        <v/>
      </c>
    </row>
    <row r="348" spans="2:8" ht="17" customHeight="1">
      <c r="B348" s="36">
        <v>6.3</v>
      </c>
      <c r="C348" s="38">
        <f>Ship_BOG*$B348+Ship_FixedL</f>
        <v>74873.3268292683</v>
      </c>
      <c r="D348" s="38">
        <f>Ship_CostNcmp</f>
        <v>38593.5483870968</v>
      </c>
      <c r="E348" s="38" t="e">
        <f>IF(ABS($B348-Ship_P_H2)&lt;=0.025,C348,NA())</f>
        <v>#N/A</v>
      </c>
      <c r="F348" s="38" t="e">
        <f>IF(ISNUMBER(Ship_BE),IF(ABS($B348-Ship_BE)&lt;=0.025,Ship_CostNcmp,NA()),NA())</f>
        <v>#N/A</v>
      </c>
      <c r="G348" s="38" t="e">
        <f>IF(ABS($B348-Ship_SW)&lt;=0.025,MAX(Ship_BOG*10+Ship_FixedL,Ship_CostNcmp),NA())</f>
        <v>#N/A</v>
      </c>
      <c r="H348" s="39">
        <f>IF(MOD(126,20)=0,TEXT($B348,"0"),"")</f>
        <v/>
      </c>
    </row>
    <row r="349" spans="2:8" ht="17" customHeight="1">
      <c r="B349" s="36">
        <v>6.35</v>
      </c>
      <c r="C349" s="38">
        <f>Ship_BOG*$B349+Ship_FixedL</f>
        <v>75439.7268292683</v>
      </c>
      <c r="D349" s="38">
        <f>Ship_CostNcmp</f>
        <v>38593.5483870968</v>
      </c>
      <c r="E349" s="38" t="e">
        <f>IF(ABS($B349-Ship_P_H2)&lt;=0.025,C349,NA())</f>
        <v>#N/A</v>
      </c>
      <c r="F349" s="38" t="e">
        <f>IF(ISNUMBER(Ship_BE),IF(ABS($B349-Ship_BE)&lt;=0.025,Ship_CostNcmp,NA()),NA())</f>
        <v>#N/A</v>
      </c>
      <c r="G349" s="38" t="e">
        <f>IF(ABS($B349-Ship_SW)&lt;=0.025,MAX(Ship_BOG*10+Ship_FixedL,Ship_CostNcmp),NA())</f>
        <v>#N/A</v>
      </c>
      <c r="H349" s="39">
        <f>IF(MOD(127,20)=0,TEXT($B349,"0"),"")</f>
        <v/>
      </c>
    </row>
    <row r="350" spans="2:8" ht="17" customHeight="1">
      <c r="B350" s="36">
        <v>6.4</v>
      </c>
      <c r="C350" s="38">
        <f>Ship_BOG*$B350+Ship_FixedL</f>
        <v>76006.1268292683</v>
      </c>
      <c r="D350" s="38">
        <f>Ship_CostNcmp</f>
        <v>38593.5483870968</v>
      </c>
      <c r="E350" s="38" t="e">
        <f>IF(ABS($B350-Ship_P_H2)&lt;=0.025,C350,NA())</f>
        <v>#N/A</v>
      </c>
      <c r="F350" s="38" t="e">
        <f>IF(ISNUMBER(Ship_BE),IF(ABS($B350-Ship_BE)&lt;=0.025,Ship_CostNcmp,NA()),NA())</f>
        <v>#N/A</v>
      </c>
      <c r="G350" s="38" t="e">
        <f>IF(ABS($B350-Ship_SW)&lt;=0.025,MAX(Ship_BOG*10+Ship_FixedL,Ship_CostNcmp),NA())</f>
        <v>#N/A</v>
      </c>
      <c r="H350" s="39">
        <f>IF(MOD(128,20)=0,TEXT($B350,"0"),"")</f>
        <v/>
      </c>
    </row>
    <row r="351" spans="2:8" ht="17" customHeight="1">
      <c r="B351" s="36">
        <v>6.45</v>
      </c>
      <c r="C351" s="38">
        <f>Ship_BOG*$B351+Ship_FixedL</f>
        <v>76572.5268292683</v>
      </c>
      <c r="D351" s="38">
        <f>Ship_CostNcmp</f>
        <v>38593.5483870968</v>
      </c>
      <c r="E351" s="38" t="e">
        <f>IF(ABS($B351-Ship_P_H2)&lt;=0.025,C351,NA())</f>
        <v>#N/A</v>
      </c>
      <c r="F351" s="38" t="e">
        <f>IF(ISNUMBER(Ship_BE),IF(ABS($B351-Ship_BE)&lt;=0.025,Ship_CostNcmp,NA()),NA())</f>
        <v>#N/A</v>
      </c>
      <c r="G351" s="38" t="e">
        <f>IF(ABS($B351-Ship_SW)&lt;=0.025,MAX(Ship_BOG*10+Ship_FixedL,Ship_CostNcmp),NA())</f>
        <v>#N/A</v>
      </c>
      <c r="H351" s="39">
        <f>IF(MOD(129,20)=0,TEXT($B351,"0"),"")</f>
        <v/>
      </c>
    </row>
    <row r="352" spans="2:8" ht="17" customHeight="1">
      <c r="B352" s="36">
        <v>6.5</v>
      </c>
      <c r="C352" s="38">
        <f>Ship_BOG*$B352+Ship_FixedL</f>
        <v>77138.9268292683</v>
      </c>
      <c r="D352" s="38">
        <f>Ship_CostNcmp</f>
        <v>38593.5483870968</v>
      </c>
      <c r="E352" s="38" t="e">
        <f>IF(ABS($B352-Ship_P_H2)&lt;=0.025,C352,NA())</f>
        <v>#N/A</v>
      </c>
      <c r="F352" s="38" t="e">
        <f>IF(ISNUMBER(Ship_BE),IF(ABS($B352-Ship_BE)&lt;=0.025,Ship_CostNcmp,NA()),NA())</f>
        <v>#N/A</v>
      </c>
      <c r="G352" s="38" t="e">
        <f>IF(ABS($B352-Ship_SW)&lt;=0.025,MAX(Ship_BOG*10+Ship_FixedL,Ship_CostNcmp),NA())</f>
        <v>#N/A</v>
      </c>
      <c r="H352" s="39">
        <f>IF(MOD(130,20)=0,TEXT($B352,"0"),"")</f>
        <v/>
      </c>
    </row>
    <row r="353" spans="2:8" ht="17" customHeight="1">
      <c r="B353" s="36">
        <v>6.55</v>
      </c>
      <c r="C353" s="38">
        <f>Ship_BOG*$B353+Ship_FixedL</f>
        <v>77705.3268292683</v>
      </c>
      <c r="D353" s="38">
        <f>Ship_CostNcmp</f>
        <v>38593.5483870968</v>
      </c>
      <c r="E353" s="38" t="e">
        <f>IF(ABS($B353-Ship_P_H2)&lt;=0.025,C353,NA())</f>
        <v>#N/A</v>
      </c>
      <c r="F353" s="38" t="e">
        <f>IF(ISNUMBER(Ship_BE),IF(ABS($B353-Ship_BE)&lt;=0.025,Ship_CostNcmp,NA()),NA())</f>
        <v>#N/A</v>
      </c>
      <c r="G353" s="38" t="e">
        <f>IF(ABS($B353-Ship_SW)&lt;=0.025,MAX(Ship_BOG*10+Ship_FixedL,Ship_CostNcmp),NA())</f>
        <v>#N/A</v>
      </c>
      <c r="H353" s="39">
        <f>IF(MOD(131,20)=0,TEXT($B353,"0"),"")</f>
        <v/>
      </c>
    </row>
    <row r="354" spans="2:8" ht="17" customHeight="1">
      <c r="B354" s="36">
        <v>6.6</v>
      </c>
      <c r="C354" s="38">
        <f>Ship_BOG*$B354+Ship_FixedL</f>
        <v>78271.7268292683</v>
      </c>
      <c r="D354" s="38">
        <f>Ship_CostNcmp</f>
        <v>38593.5483870968</v>
      </c>
      <c r="E354" s="38" t="e">
        <f>IF(ABS($B354-Ship_P_H2)&lt;=0.025,C354,NA())</f>
        <v>#N/A</v>
      </c>
      <c r="F354" s="38" t="e">
        <f>IF(ISNUMBER(Ship_BE),IF(ABS($B354-Ship_BE)&lt;=0.025,Ship_CostNcmp,NA()),NA())</f>
        <v>#N/A</v>
      </c>
      <c r="G354" s="38" t="e">
        <f>IF(ABS($B354-Ship_SW)&lt;=0.025,MAX(Ship_BOG*10+Ship_FixedL,Ship_CostNcmp),NA())</f>
        <v>#N/A</v>
      </c>
      <c r="H354" s="39">
        <f>IF(MOD(132,20)=0,TEXT($B354,"0"),"")</f>
        <v/>
      </c>
    </row>
    <row r="355" spans="2:8" ht="17" customHeight="1">
      <c r="B355" s="36">
        <v>6.65</v>
      </c>
      <c r="C355" s="38">
        <f>Ship_BOG*$B355+Ship_FixedL</f>
        <v>78838.1268292683</v>
      </c>
      <c r="D355" s="38">
        <f>Ship_CostNcmp</f>
        <v>38593.5483870968</v>
      </c>
      <c r="E355" s="38" t="e">
        <f>IF(ABS($B355-Ship_P_H2)&lt;=0.025,C355,NA())</f>
        <v>#N/A</v>
      </c>
      <c r="F355" s="38" t="e">
        <f>IF(ISNUMBER(Ship_BE),IF(ABS($B355-Ship_BE)&lt;=0.025,Ship_CostNcmp,NA()),NA())</f>
        <v>#N/A</v>
      </c>
      <c r="G355" s="38" t="e">
        <f>IF(ABS($B355-Ship_SW)&lt;=0.025,MAX(Ship_BOG*10+Ship_FixedL,Ship_CostNcmp),NA())</f>
        <v>#N/A</v>
      </c>
      <c r="H355" s="39">
        <f>IF(MOD(133,20)=0,TEXT($B355,"0"),"")</f>
        <v/>
      </c>
    </row>
    <row r="356" spans="2:8" ht="17" customHeight="1">
      <c r="B356" s="36">
        <v>6.7</v>
      </c>
      <c r="C356" s="38">
        <f>Ship_BOG*$B356+Ship_FixedL</f>
        <v>79404.5268292683</v>
      </c>
      <c r="D356" s="38">
        <f>Ship_CostNcmp</f>
        <v>38593.5483870968</v>
      </c>
      <c r="E356" s="38" t="e">
        <f>IF(ABS($B356-Ship_P_H2)&lt;=0.025,C356,NA())</f>
        <v>#N/A</v>
      </c>
      <c r="F356" s="38" t="e">
        <f>IF(ISNUMBER(Ship_BE),IF(ABS($B356-Ship_BE)&lt;=0.025,Ship_CostNcmp,NA()),NA())</f>
        <v>#N/A</v>
      </c>
      <c r="G356" s="38" t="e">
        <f>IF(ABS($B356-Ship_SW)&lt;=0.025,MAX(Ship_BOG*10+Ship_FixedL,Ship_CostNcmp),NA())</f>
        <v>#N/A</v>
      </c>
      <c r="H356" s="39">
        <f>IF(MOD(134,20)=0,TEXT($B356,"0"),"")</f>
        <v/>
      </c>
    </row>
    <row r="357" spans="2:8" ht="17" customHeight="1">
      <c r="B357" s="36">
        <v>6.75</v>
      </c>
      <c r="C357" s="38">
        <f>Ship_BOG*$B357+Ship_FixedL</f>
        <v>79970.9268292683</v>
      </c>
      <c r="D357" s="38">
        <f>Ship_CostNcmp</f>
        <v>38593.5483870968</v>
      </c>
      <c r="E357" s="38" t="e">
        <f>IF(ABS($B357-Ship_P_H2)&lt;=0.025,C357,NA())</f>
        <v>#N/A</v>
      </c>
      <c r="F357" s="38" t="e">
        <f>IF(ISNUMBER(Ship_BE),IF(ABS($B357-Ship_BE)&lt;=0.025,Ship_CostNcmp,NA()),NA())</f>
        <v>#N/A</v>
      </c>
      <c r="G357" s="38" t="e">
        <f>IF(ABS($B357-Ship_SW)&lt;=0.025,MAX(Ship_BOG*10+Ship_FixedL,Ship_CostNcmp),NA())</f>
        <v>#N/A</v>
      </c>
      <c r="H357" s="39">
        <f>IF(MOD(135,20)=0,TEXT($B357,"0"),"")</f>
        <v/>
      </c>
    </row>
    <row r="358" spans="2:8" ht="17" customHeight="1">
      <c r="B358" s="36">
        <v>6.8</v>
      </c>
      <c r="C358" s="38">
        <f>Ship_BOG*$B358+Ship_FixedL</f>
        <v>80537.3268292683</v>
      </c>
      <c r="D358" s="38">
        <f>Ship_CostNcmp</f>
        <v>38593.5483870968</v>
      </c>
      <c r="E358" s="38" t="e">
        <f>IF(ABS($B358-Ship_P_H2)&lt;=0.025,C358,NA())</f>
        <v>#N/A</v>
      </c>
      <c r="F358" s="38" t="e">
        <f>IF(ISNUMBER(Ship_BE),IF(ABS($B358-Ship_BE)&lt;=0.025,Ship_CostNcmp,NA()),NA())</f>
        <v>#N/A</v>
      </c>
      <c r="G358" s="38" t="e">
        <f>IF(ABS($B358-Ship_SW)&lt;=0.025,MAX(Ship_BOG*10+Ship_FixedL,Ship_CostNcmp),NA())</f>
        <v>#N/A</v>
      </c>
      <c r="H358" s="39">
        <f>IF(MOD(136,20)=0,TEXT($B358,"0"),"")</f>
        <v/>
      </c>
    </row>
    <row r="359" spans="2:8" ht="17" customHeight="1">
      <c r="B359" s="36">
        <v>6.85</v>
      </c>
      <c r="C359" s="38">
        <f>Ship_BOG*$B359+Ship_FixedL</f>
        <v>81103.7268292683</v>
      </c>
      <c r="D359" s="38">
        <f>Ship_CostNcmp</f>
        <v>38593.5483870968</v>
      </c>
      <c r="E359" s="38" t="e">
        <f>IF(ABS($B359-Ship_P_H2)&lt;=0.025,C359,NA())</f>
        <v>#N/A</v>
      </c>
      <c r="F359" s="38" t="e">
        <f>IF(ISNUMBER(Ship_BE),IF(ABS($B359-Ship_BE)&lt;=0.025,Ship_CostNcmp,NA()),NA())</f>
        <v>#N/A</v>
      </c>
      <c r="G359" s="38" t="e">
        <f>IF(ABS($B359-Ship_SW)&lt;=0.025,MAX(Ship_BOG*10+Ship_FixedL,Ship_CostNcmp),NA())</f>
        <v>#N/A</v>
      </c>
      <c r="H359" s="39">
        <f>IF(MOD(137,20)=0,TEXT($B359,"0"),"")</f>
        <v/>
      </c>
    </row>
    <row r="360" spans="2:8" ht="17" customHeight="1">
      <c r="B360" s="36">
        <v>6.9</v>
      </c>
      <c r="C360" s="38">
        <f>Ship_BOG*$B360+Ship_FixedL</f>
        <v>81670.1268292683</v>
      </c>
      <c r="D360" s="38">
        <f>Ship_CostNcmp</f>
        <v>38593.5483870968</v>
      </c>
      <c r="E360" s="38" t="e">
        <f>IF(ABS($B360-Ship_P_H2)&lt;=0.025,C360,NA())</f>
        <v>#N/A</v>
      </c>
      <c r="F360" s="38" t="e">
        <f>IF(ISNUMBER(Ship_BE),IF(ABS($B360-Ship_BE)&lt;=0.025,Ship_CostNcmp,NA()),NA())</f>
        <v>#N/A</v>
      </c>
      <c r="G360" s="38" t="e">
        <f>IF(ABS($B360-Ship_SW)&lt;=0.025,MAX(Ship_BOG*10+Ship_FixedL,Ship_CostNcmp),NA())</f>
        <v>#N/A</v>
      </c>
      <c r="H360" s="39">
        <f>IF(MOD(138,20)=0,TEXT($B360,"0"),"")</f>
        <v/>
      </c>
    </row>
    <row r="361" spans="2:8" ht="17" customHeight="1">
      <c r="B361" s="36">
        <v>6.95</v>
      </c>
      <c r="C361" s="38">
        <f>Ship_BOG*$B361+Ship_FixedL</f>
        <v>82236.5268292683</v>
      </c>
      <c r="D361" s="38">
        <f>Ship_CostNcmp</f>
        <v>38593.5483870968</v>
      </c>
      <c r="E361" s="38" t="e">
        <f>IF(ABS($B361-Ship_P_H2)&lt;=0.025,C361,NA())</f>
        <v>#N/A</v>
      </c>
      <c r="F361" s="38" t="e">
        <f>IF(ISNUMBER(Ship_BE),IF(ABS($B361-Ship_BE)&lt;=0.025,Ship_CostNcmp,NA()),NA())</f>
        <v>#N/A</v>
      </c>
      <c r="G361" s="38" t="e">
        <f>IF(ABS($B361-Ship_SW)&lt;=0.025,MAX(Ship_BOG*10+Ship_FixedL,Ship_CostNcmp),NA())</f>
        <v>#N/A</v>
      </c>
      <c r="H361" s="39">
        <f>IF(MOD(139,20)=0,TEXT($B361,"0"),"")</f>
        <v/>
      </c>
    </row>
    <row r="362" spans="2:8" ht="17" customHeight="1">
      <c r="B362" s="36">
        <v>7</v>
      </c>
      <c r="C362" s="38">
        <f>Ship_BOG*$B362+Ship_FixedL</f>
        <v>82802.9268292683</v>
      </c>
      <c r="D362" s="38">
        <f>Ship_CostNcmp</f>
        <v>38593.5483870968</v>
      </c>
      <c r="E362" s="38" t="e">
        <f>IF(ABS($B362-Ship_P_H2)&lt;=0.025,C362,NA())</f>
        <v>#N/A</v>
      </c>
      <c r="F362" s="38" t="e">
        <f>IF(ISNUMBER(Ship_BE),IF(ABS($B362-Ship_BE)&lt;=0.025,Ship_CostNcmp,NA()),NA())</f>
        <v>#N/A</v>
      </c>
      <c r="G362" s="38" t="e">
        <f>IF(ABS($B362-Ship_SW)&lt;=0.025,MAX(Ship_BOG*10+Ship_FixedL,Ship_CostNcmp),NA())</f>
        <v>#N/A</v>
      </c>
      <c r="H362" s="39" t="str">
        <f>IF(MOD(140,20)=0,TEXT($B362,"0"),"")</f>
        <v>7</v>
      </c>
    </row>
    <row r="363" spans="2:8" ht="17" customHeight="1">
      <c r="B363" s="36">
        <v>7.05</v>
      </c>
      <c r="C363" s="38">
        <f>Ship_BOG*$B363+Ship_FixedL</f>
        <v>83369.3268292683</v>
      </c>
      <c r="D363" s="38">
        <f>Ship_CostNcmp</f>
        <v>38593.5483870968</v>
      </c>
      <c r="E363" s="38" t="e">
        <f>IF(ABS($B363-Ship_P_H2)&lt;=0.025,C363,NA())</f>
        <v>#N/A</v>
      </c>
      <c r="F363" s="38" t="e">
        <f>IF(ISNUMBER(Ship_BE),IF(ABS($B363-Ship_BE)&lt;=0.025,Ship_CostNcmp,NA()),NA())</f>
        <v>#N/A</v>
      </c>
      <c r="G363" s="38" t="e">
        <f>IF(ABS($B363-Ship_SW)&lt;=0.025,MAX(Ship_BOG*10+Ship_FixedL,Ship_CostNcmp),NA())</f>
        <v>#N/A</v>
      </c>
      <c r="H363" s="39">
        <f>IF(MOD(141,20)=0,TEXT($B363,"0"),"")</f>
        <v/>
      </c>
    </row>
    <row r="364" spans="2:8" ht="17" customHeight="1">
      <c r="B364" s="36">
        <v>7.1</v>
      </c>
      <c r="C364" s="38">
        <f>Ship_BOG*$B364+Ship_FixedL</f>
        <v>83935.7268292683</v>
      </c>
      <c r="D364" s="38">
        <f>Ship_CostNcmp</f>
        <v>38593.5483870968</v>
      </c>
      <c r="E364" s="38" t="e">
        <f>IF(ABS($B364-Ship_P_H2)&lt;=0.025,C364,NA())</f>
        <v>#N/A</v>
      </c>
      <c r="F364" s="38" t="e">
        <f>IF(ISNUMBER(Ship_BE),IF(ABS($B364-Ship_BE)&lt;=0.025,Ship_CostNcmp,NA()),NA())</f>
        <v>#N/A</v>
      </c>
      <c r="G364" s="38" t="e">
        <f>IF(ABS($B364-Ship_SW)&lt;=0.025,MAX(Ship_BOG*10+Ship_FixedL,Ship_CostNcmp),NA())</f>
        <v>#N/A</v>
      </c>
      <c r="H364" s="39">
        <f>IF(MOD(142,20)=0,TEXT($B364,"0"),"")</f>
        <v/>
      </c>
    </row>
    <row r="365" spans="2:8" ht="17" customHeight="1">
      <c r="B365" s="36">
        <v>7.15</v>
      </c>
      <c r="C365" s="38">
        <f>Ship_BOG*$B365+Ship_FixedL</f>
        <v>84502.1268292683</v>
      </c>
      <c r="D365" s="38">
        <f>Ship_CostNcmp</f>
        <v>38593.5483870968</v>
      </c>
      <c r="E365" s="38" t="e">
        <f>IF(ABS($B365-Ship_P_H2)&lt;=0.025,C365,NA())</f>
        <v>#N/A</v>
      </c>
      <c r="F365" s="38" t="e">
        <f>IF(ISNUMBER(Ship_BE),IF(ABS($B365-Ship_BE)&lt;=0.025,Ship_CostNcmp,NA()),NA())</f>
        <v>#N/A</v>
      </c>
      <c r="G365" s="38" t="e">
        <f>IF(ABS($B365-Ship_SW)&lt;=0.025,MAX(Ship_BOG*10+Ship_FixedL,Ship_CostNcmp),NA())</f>
        <v>#N/A</v>
      </c>
      <c r="H365" s="39">
        <f>IF(MOD(143,20)=0,TEXT($B365,"0"),"")</f>
        <v/>
      </c>
    </row>
    <row r="366" spans="2:8" ht="17" customHeight="1">
      <c r="B366" s="36">
        <v>7.2</v>
      </c>
      <c r="C366" s="38">
        <f>Ship_BOG*$B366+Ship_FixedL</f>
        <v>85068.5268292683</v>
      </c>
      <c r="D366" s="38">
        <f>Ship_CostNcmp</f>
        <v>38593.5483870968</v>
      </c>
      <c r="E366" s="38" t="e">
        <f>IF(ABS($B366-Ship_P_H2)&lt;=0.025,C366,NA())</f>
        <v>#N/A</v>
      </c>
      <c r="F366" s="38" t="e">
        <f>IF(ISNUMBER(Ship_BE),IF(ABS($B366-Ship_BE)&lt;=0.025,Ship_CostNcmp,NA()),NA())</f>
        <v>#N/A</v>
      </c>
      <c r="G366" s="38" t="e">
        <f>IF(ABS($B366-Ship_SW)&lt;=0.025,MAX(Ship_BOG*10+Ship_FixedL,Ship_CostNcmp),NA())</f>
        <v>#N/A</v>
      </c>
      <c r="H366" s="39">
        <f>IF(MOD(144,20)=0,TEXT($B366,"0"),"")</f>
        <v/>
      </c>
    </row>
    <row r="367" spans="2:8" ht="17" customHeight="1">
      <c r="B367" s="36">
        <v>7.25</v>
      </c>
      <c r="C367" s="38">
        <f>Ship_BOG*$B367+Ship_FixedL</f>
        <v>85634.9268292683</v>
      </c>
      <c r="D367" s="38">
        <f>Ship_CostNcmp</f>
        <v>38593.5483870968</v>
      </c>
      <c r="E367" s="38" t="e">
        <f>IF(ABS($B367-Ship_P_H2)&lt;=0.025,C367,NA())</f>
        <v>#N/A</v>
      </c>
      <c r="F367" s="38" t="e">
        <f>IF(ISNUMBER(Ship_BE),IF(ABS($B367-Ship_BE)&lt;=0.025,Ship_CostNcmp,NA()),NA())</f>
        <v>#N/A</v>
      </c>
      <c r="G367" s="38" t="e">
        <f>IF(ABS($B367-Ship_SW)&lt;=0.025,MAX(Ship_BOG*10+Ship_FixedL,Ship_CostNcmp),NA())</f>
        <v>#N/A</v>
      </c>
      <c r="H367" s="39">
        <f>IF(MOD(145,20)=0,TEXT($B367,"0"),"")</f>
        <v/>
      </c>
    </row>
    <row r="368" spans="2:8" ht="17" customHeight="1">
      <c r="B368" s="36">
        <v>7.3</v>
      </c>
      <c r="C368" s="38">
        <f>Ship_BOG*$B368+Ship_FixedL</f>
        <v>86201.3268292683</v>
      </c>
      <c r="D368" s="38">
        <f>Ship_CostNcmp</f>
        <v>38593.5483870968</v>
      </c>
      <c r="E368" s="38" t="e">
        <f>IF(ABS($B368-Ship_P_H2)&lt;=0.025,C368,NA())</f>
        <v>#N/A</v>
      </c>
      <c r="F368" s="38" t="e">
        <f>IF(ISNUMBER(Ship_BE),IF(ABS($B368-Ship_BE)&lt;=0.025,Ship_CostNcmp,NA()),NA())</f>
        <v>#N/A</v>
      </c>
      <c r="G368" s="38" t="e">
        <f>IF(ABS($B368-Ship_SW)&lt;=0.025,MAX(Ship_BOG*10+Ship_FixedL,Ship_CostNcmp),NA())</f>
        <v>#N/A</v>
      </c>
      <c r="H368" s="39">
        <f>IF(MOD(146,20)=0,TEXT($B368,"0"),"")</f>
        <v/>
      </c>
    </row>
    <row r="369" spans="2:8" ht="17" customHeight="1">
      <c r="B369" s="36">
        <v>7.35</v>
      </c>
      <c r="C369" s="38">
        <f>Ship_BOG*$B369+Ship_FixedL</f>
        <v>86767.7268292683</v>
      </c>
      <c r="D369" s="38">
        <f>Ship_CostNcmp</f>
        <v>38593.5483870968</v>
      </c>
      <c r="E369" s="38" t="e">
        <f>IF(ABS($B369-Ship_P_H2)&lt;=0.025,C369,NA())</f>
        <v>#N/A</v>
      </c>
      <c r="F369" s="38" t="e">
        <f>IF(ISNUMBER(Ship_BE),IF(ABS($B369-Ship_BE)&lt;=0.025,Ship_CostNcmp,NA()),NA())</f>
        <v>#N/A</v>
      </c>
      <c r="G369" s="38" t="e">
        <f>IF(ABS($B369-Ship_SW)&lt;=0.025,MAX(Ship_BOG*10+Ship_FixedL,Ship_CostNcmp),NA())</f>
        <v>#N/A</v>
      </c>
      <c r="H369" s="39">
        <f>IF(MOD(147,20)=0,TEXT($B369,"0"),"")</f>
        <v/>
      </c>
    </row>
    <row r="370" spans="2:8" ht="17" customHeight="1">
      <c r="B370" s="36">
        <v>7.4</v>
      </c>
      <c r="C370" s="38">
        <f>Ship_BOG*$B370+Ship_FixedL</f>
        <v>87334.1268292683</v>
      </c>
      <c r="D370" s="38">
        <f>Ship_CostNcmp</f>
        <v>38593.5483870968</v>
      </c>
      <c r="E370" s="38" t="e">
        <f>IF(ABS($B370-Ship_P_H2)&lt;=0.025,C370,NA())</f>
        <v>#N/A</v>
      </c>
      <c r="F370" s="38" t="e">
        <f>IF(ISNUMBER(Ship_BE),IF(ABS($B370-Ship_BE)&lt;=0.025,Ship_CostNcmp,NA()),NA())</f>
        <v>#N/A</v>
      </c>
      <c r="G370" s="38" t="e">
        <f>IF(ABS($B370-Ship_SW)&lt;=0.025,MAX(Ship_BOG*10+Ship_FixedL,Ship_CostNcmp),NA())</f>
        <v>#N/A</v>
      </c>
      <c r="H370" s="39">
        <f>IF(MOD(148,20)=0,TEXT($B370,"0"),"")</f>
        <v/>
      </c>
    </row>
    <row r="371" spans="2:8" ht="17" customHeight="1">
      <c r="B371" s="36">
        <v>7.45</v>
      </c>
      <c r="C371" s="38">
        <f>Ship_BOG*$B371+Ship_FixedL</f>
        <v>87900.5268292683</v>
      </c>
      <c r="D371" s="38">
        <f>Ship_CostNcmp</f>
        <v>38593.5483870968</v>
      </c>
      <c r="E371" s="38" t="e">
        <f>IF(ABS($B371-Ship_P_H2)&lt;=0.025,C371,NA())</f>
        <v>#N/A</v>
      </c>
      <c r="F371" s="38" t="e">
        <f>IF(ISNUMBER(Ship_BE),IF(ABS($B371-Ship_BE)&lt;=0.025,Ship_CostNcmp,NA()),NA())</f>
        <v>#N/A</v>
      </c>
      <c r="G371" s="38" t="e">
        <f>IF(ABS($B371-Ship_SW)&lt;=0.025,MAX(Ship_BOG*10+Ship_FixedL,Ship_CostNcmp),NA())</f>
        <v>#N/A</v>
      </c>
      <c r="H371" s="39">
        <f>IF(MOD(149,20)=0,TEXT($B371,"0"),"")</f>
        <v/>
      </c>
    </row>
    <row r="372" spans="2:8" ht="17" customHeight="1">
      <c r="B372" s="36">
        <v>7.5</v>
      </c>
      <c r="C372" s="38">
        <f>Ship_BOG*$B372+Ship_FixedL</f>
        <v>88466.9268292683</v>
      </c>
      <c r="D372" s="38">
        <f>Ship_CostNcmp</f>
        <v>38593.5483870968</v>
      </c>
      <c r="E372" s="38" t="e">
        <f>IF(ABS($B372-Ship_P_H2)&lt;=0.025,C372,NA())</f>
        <v>#N/A</v>
      </c>
      <c r="F372" s="38" t="e">
        <f>IF(ISNUMBER(Ship_BE),IF(ABS($B372-Ship_BE)&lt;=0.025,Ship_CostNcmp,NA()),NA())</f>
        <v>#N/A</v>
      </c>
      <c r="G372" s="38" t="e">
        <f>IF(ABS($B372-Ship_SW)&lt;=0.025,MAX(Ship_BOG*10+Ship_FixedL,Ship_CostNcmp),NA())</f>
        <v>#N/A</v>
      </c>
      <c r="H372" s="39">
        <f>IF(MOD(150,20)=0,TEXT($B372,"0"),"")</f>
        <v/>
      </c>
    </row>
    <row r="373" spans="2:8" ht="17" customHeight="1">
      <c r="B373" s="36">
        <v>7.55</v>
      </c>
      <c r="C373" s="38">
        <f>Ship_BOG*$B373+Ship_FixedL</f>
        <v>89033.3268292683</v>
      </c>
      <c r="D373" s="38">
        <f>Ship_CostNcmp</f>
        <v>38593.5483870968</v>
      </c>
      <c r="E373" s="38" t="e">
        <f>IF(ABS($B373-Ship_P_H2)&lt;=0.025,C373,NA())</f>
        <v>#N/A</v>
      </c>
      <c r="F373" s="38" t="e">
        <f>IF(ISNUMBER(Ship_BE),IF(ABS($B373-Ship_BE)&lt;=0.025,Ship_CostNcmp,NA()),NA())</f>
        <v>#N/A</v>
      </c>
      <c r="G373" s="38" t="e">
        <f>IF(ABS($B373-Ship_SW)&lt;=0.025,MAX(Ship_BOG*10+Ship_FixedL,Ship_CostNcmp),NA())</f>
        <v>#N/A</v>
      </c>
      <c r="H373" s="39">
        <f>IF(MOD(151,20)=0,TEXT($B373,"0"),"")</f>
        <v/>
      </c>
    </row>
    <row r="374" spans="2:8" ht="17" customHeight="1">
      <c r="B374" s="36">
        <v>7.6</v>
      </c>
      <c r="C374" s="38">
        <f>Ship_BOG*$B374+Ship_FixedL</f>
        <v>89599.7268292683</v>
      </c>
      <c r="D374" s="38">
        <f>Ship_CostNcmp</f>
        <v>38593.5483870968</v>
      </c>
      <c r="E374" s="38" t="e">
        <f>IF(ABS($B374-Ship_P_H2)&lt;=0.025,C374,NA())</f>
        <v>#N/A</v>
      </c>
      <c r="F374" s="38" t="e">
        <f>IF(ISNUMBER(Ship_BE),IF(ABS($B374-Ship_BE)&lt;=0.025,Ship_CostNcmp,NA()),NA())</f>
        <v>#N/A</v>
      </c>
      <c r="G374" s="38" t="e">
        <f>IF(ABS($B374-Ship_SW)&lt;=0.025,MAX(Ship_BOG*10+Ship_FixedL,Ship_CostNcmp),NA())</f>
        <v>#N/A</v>
      </c>
      <c r="H374" s="39">
        <f>IF(MOD(152,20)=0,TEXT($B374,"0"),"")</f>
        <v/>
      </c>
    </row>
    <row r="375" spans="2:8" ht="17" customHeight="1">
      <c r="B375" s="36">
        <v>7.65</v>
      </c>
      <c r="C375" s="38">
        <f>Ship_BOG*$B375+Ship_FixedL</f>
        <v>90166.1268292683</v>
      </c>
      <c r="D375" s="38">
        <f>Ship_CostNcmp</f>
        <v>38593.5483870968</v>
      </c>
      <c r="E375" s="38" t="e">
        <f>IF(ABS($B375-Ship_P_H2)&lt;=0.025,C375,NA())</f>
        <v>#N/A</v>
      </c>
      <c r="F375" s="38" t="e">
        <f>IF(ISNUMBER(Ship_BE),IF(ABS($B375-Ship_BE)&lt;=0.025,Ship_CostNcmp,NA()),NA())</f>
        <v>#N/A</v>
      </c>
      <c r="G375" s="38" t="e">
        <f>IF(ABS($B375-Ship_SW)&lt;=0.025,MAX(Ship_BOG*10+Ship_FixedL,Ship_CostNcmp),NA())</f>
        <v>#N/A</v>
      </c>
      <c r="H375" s="39">
        <f>IF(MOD(153,20)=0,TEXT($B375,"0"),"")</f>
        <v/>
      </c>
    </row>
    <row r="376" spans="2:8" ht="17" customHeight="1">
      <c r="B376" s="36">
        <v>7.7</v>
      </c>
      <c r="C376" s="38">
        <f>Ship_BOG*$B376+Ship_FixedL</f>
        <v>90732.5268292683</v>
      </c>
      <c r="D376" s="38">
        <f>Ship_CostNcmp</f>
        <v>38593.5483870968</v>
      </c>
      <c r="E376" s="38" t="e">
        <f>IF(ABS($B376-Ship_P_H2)&lt;=0.025,C376,NA())</f>
        <v>#N/A</v>
      </c>
      <c r="F376" s="38" t="e">
        <f>IF(ISNUMBER(Ship_BE),IF(ABS($B376-Ship_BE)&lt;=0.025,Ship_CostNcmp,NA()),NA())</f>
        <v>#N/A</v>
      </c>
      <c r="G376" s="38" t="e">
        <f>IF(ABS($B376-Ship_SW)&lt;=0.025,MAX(Ship_BOG*10+Ship_FixedL,Ship_CostNcmp),NA())</f>
        <v>#N/A</v>
      </c>
      <c r="H376" s="39">
        <f>IF(MOD(154,20)=0,TEXT($B376,"0"),"")</f>
        <v/>
      </c>
    </row>
    <row r="377" spans="2:8" ht="17" customHeight="1">
      <c r="B377" s="36">
        <v>7.75</v>
      </c>
      <c r="C377" s="38">
        <f>Ship_BOG*$B377+Ship_FixedL</f>
        <v>91298.9268292683</v>
      </c>
      <c r="D377" s="38">
        <f>Ship_CostNcmp</f>
        <v>38593.5483870968</v>
      </c>
      <c r="E377" s="38" t="e">
        <f>IF(ABS($B377-Ship_P_H2)&lt;=0.025,C377,NA())</f>
        <v>#N/A</v>
      </c>
      <c r="F377" s="38" t="e">
        <f>IF(ISNUMBER(Ship_BE),IF(ABS($B377-Ship_BE)&lt;=0.025,Ship_CostNcmp,NA()),NA())</f>
        <v>#N/A</v>
      </c>
      <c r="G377" s="38" t="e">
        <f>IF(ABS($B377-Ship_SW)&lt;=0.025,MAX(Ship_BOG*10+Ship_FixedL,Ship_CostNcmp),NA())</f>
        <v>#N/A</v>
      </c>
      <c r="H377" s="39">
        <f>IF(MOD(155,20)=0,TEXT($B377,"0"),"")</f>
        <v/>
      </c>
    </row>
    <row r="378" spans="2:8" ht="17" customHeight="1">
      <c r="B378" s="36">
        <v>7.8</v>
      </c>
      <c r="C378" s="38">
        <f>Ship_BOG*$B378+Ship_FixedL</f>
        <v>91865.3268292683</v>
      </c>
      <c r="D378" s="38">
        <f>Ship_CostNcmp</f>
        <v>38593.5483870968</v>
      </c>
      <c r="E378" s="38" t="e">
        <f>IF(ABS($B378-Ship_P_H2)&lt;=0.025,C378,NA())</f>
        <v>#N/A</v>
      </c>
      <c r="F378" s="38" t="e">
        <f>IF(ISNUMBER(Ship_BE),IF(ABS($B378-Ship_BE)&lt;=0.025,Ship_CostNcmp,NA()),NA())</f>
        <v>#N/A</v>
      </c>
      <c r="G378" s="38" t="e">
        <f>IF(ABS($B378-Ship_SW)&lt;=0.025,MAX(Ship_BOG*10+Ship_FixedL,Ship_CostNcmp),NA())</f>
        <v>#N/A</v>
      </c>
      <c r="H378" s="39">
        <f>IF(MOD(156,20)=0,TEXT($B378,"0"),"")</f>
        <v/>
      </c>
    </row>
    <row r="379" spans="2:8" ht="17" customHeight="1">
      <c r="B379" s="36">
        <v>7.85</v>
      </c>
      <c r="C379" s="38">
        <f>Ship_BOG*$B379+Ship_FixedL</f>
        <v>92431.7268292683</v>
      </c>
      <c r="D379" s="38">
        <f>Ship_CostNcmp</f>
        <v>38593.5483870968</v>
      </c>
      <c r="E379" s="38" t="e">
        <f>IF(ABS($B379-Ship_P_H2)&lt;=0.025,C379,NA())</f>
        <v>#N/A</v>
      </c>
      <c r="F379" s="38" t="e">
        <f>IF(ISNUMBER(Ship_BE),IF(ABS($B379-Ship_BE)&lt;=0.025,Ship_CostNcmp,NA()),NA())</f>
        <v>#N/A</v>
      </c>
      <c r="G379" s="38" t="e">
        <f>IF(ABS($B379-Ship_SW)&lt;=0.025,MAX(Ship_BOG*10+Ship_FixedL,Ship_CostNcmp),NA())</f>
        <v>#N/A</v>
      </c>
      <c r="H379" s="39">
        <f>IF(MOD(157,20)=0,TEXT($B379,"0"),"")</f>
        <v/>
      </c>
    </row>
    <row r="380" spans="2:8" ht="17" customHeight="1">
      <c r="B380" s="36">
        <v>7.9</v>
      </c>
      <c r="C380" s="38">
        <f>Ship_BOG*$B380+Ship_FixedL</f>
        <v>92998.1268292683</v>
      </c>
      <c r="D380" s="38">
        <f>Ship_CostNcmp</f>
        <v>38593.5483870968</v>
      </c>
      <c r="E380" s="38" t="e">
        <f>IF(ABS($B380-Ship_P_H2)&lt;=0.025,C380,NA())</f>
        <v>#N/A</v>
      </c>
      <c r="F380" s="38" t="e">
        <f>IF(ISNUMBER(Ship_BE),IF(ABS($B380-Ship_BE)&lt;=0.025,Ship_CostNcmp,NA()),NA())</f>
        <v>#N/A</v>
      </c>
      <c r="G380" s="38" t="e">
        <f>IF(ABS($B380-Ship_SW)&lt;=0.025,MAX(Ship_BOG*10+Ship_FixedL,Ship_CostNcmp),NA())</f>
        <v>#N/A</v>
      </c>
      <c r="H380" s="39">
        <f>IF(MOD(158,20)=0,TEXT($B380,"0"),"")</f>
        <v/>
      </c>
    </row>
    <row r="381" spans="2:8" ht="17" customHeight="1">
      <c r="B381" s="36">
        <v>7.95</v>
      </c>
      <c r="C381" s="38">
        <f>Ship_BOG*$B381+Ship_FixedL</f>
        <v>93564.5268292683</v>
      </c>
      <c r="D381" s="38">
        <f>Ship_CostNcmp</f>
        <v>38593.5483870968</v>
      </c>
      <c r="E381" s="38" t="e">
        <f>IF(ABS($B381-Ship_P_H2)&lt;=0.025,C381,NA())</f>
        <v>#N/A</v>
      </c>
      <c r="F381" s="38" t="e">
        <f>IF(ISNUMBER(Ship_BE),IF(ABS($B381-Ship_BE)&lt;=0.025,Ship_CostNcmp,NA()),NA())</f>
        <v>#N/A</v>
      </c>
      <c r="G381" s="38" t="e">
        <f>IF(ABS($B381-Ship_SW)&lt;=0.025,MAX(Ship_BOG*10+Ship_FixedL,Ship_CostNcmp),NA())</f>
        <v>#N/A</v>
      </c>
      <c r="H381" s="39">
        <f>IF(MOD(159,20)=0,TEXT($B381,"0"),"")</f>
        <v/>
      </c>
    </row>
    <row r="382" spans="2:8" ht="17" customHeight="1">
      <c r="B382" s="36">
        <v>8</v>
      </c>
      <c r="C382" s="38">
        <f>Ship_BOG*$B382+Ship_FixedL</f>
        <v>94130.9268292683</v>
      </c>
      <c r="D382" s="38">
        <f>Ship_CostNcmp</f>
        <v>38593.5483870968</v>
      </c>
      <c r="E382" s="38" t="e">
        <f>IF(ABS($B382-Ship_P_H2)&lt;=0.025,C382,NA())</f>
        <v>#N/A</v>
      </c>
      <c r="F382" s="38" t="e">
        <f>IF(ISNUMBER(Ship_BE),IF(ABS($B382-Ship_BE)&lt;=0.025,Ship_CostNcmp,NA()),NA())</f>
        <v>#N/A</v>
      </c>
      <c r="G382" s="38" t="e">
        <f>IF(ABS($B382-Ship_SW)&lt;=0.025,MAX(Ship_BOG*10+Ship_FixedL,Ship_CostNcmp),NA())</f>
        <v>#N/A</v>
      </c>
      <c r="H382" s="39" t="str">
        <f>IF(MOD(160,20)=0,TEXT($B382,"0"),"")</f>
        <v>8</v>
      </c>
    </row>
    <row r="383" spans="2:8" ht="17" customHeight="1">
      <c r="B383" s="36">
        <v>8.050000000000001</v>
      </c>
      <c r="C383" s="38">
        <f>Ship_BOG*$B383+Ship_FixedL</f>
        <v>94697.3268292683</v>
      </c>
      <c r="D383" s="38">
        <f>Ship_CostNcmp</f>
        <v>38593.5483870968</v>
      </c>
      <c r="E383" s="38" t="e">
        <f>IF(ABS($B383-Ship_P_H2)&lt;=0.025,C383,NA())</f>
        <v>#N/A</v>
      </c>
      <c r="F383" s="38" t="e">
        <f>IF(ISNUMBER(Ship_BE),IF(ABS($B383-Ship_BE)&lt;=0.025,Ship_CostNcmp,NA()),NA())</f>
        <v>#N/A</v>
      </c>
      <c r="G383" s="38" t="e">
        <f>IF(ABS($B383-Ship_SW)&lt;=0.025,MAX(Ship_BOG*10+Ship_FixedL,Ship_CostNcmp),NA())</f>
        <v>#N/A</v>
      </c>
      <c r="H383" s="39">
        <f>IF(MOD(161,20)=0,TEXT($B383,"0"),"")</f>
        <v/>
      </c>
    </row>
    <row r="384" spans="2:8" ht="17" customHeight="1">
      <c r="B384" s="36">
        <v>8.1</v>
      </c>
      <c r="C384" s="38">
        <f>Ship_BOG*$B384+Ship_FixedL</f>
        <v>95263.7268292683</v>
      </c>
      <c r="D384" s="38">
        <f>Ship_CostNcmp</f>
        <v>38593.5483870968</v>
      </c>
      <c r="E384" s="38" t="e">
        <f>IF(ABS($B384-Ship_P_H2)&lt;=0.025,C384,NA())</f>
        <v>#N/A</v>
      </c>
      <c r="F384" s="38" t="e">
        <f>IF(ISNUMBER(Ship_BE),IF(ABS($B384-Ship_BE)&lt;=0.025,Ship_CostNcmp,NA()),NA())</f>
        <v>#N/A</v>
      </c>
      <c r="G384" s="38" t="e">
        <f>IF(ABS($B384-Ship_SW)&lt;=0.025,MAX(Ship_BOG*10+Ship_FixedL,Ship_CostNcmp),NA())</f>
        <v>#N/A</v>
      </c>
      <c r="H384" s="39">
        <f>IF(MOD(162,20)=0,TEXT($B384,"0"),"")</f>
        <v/>
      </c>
    </row>
    <row r="385" spans="2:8" ht="17" customHeight="1">
      <c r="B385" s="36">
        <v>8.15</v>
      </c>
      <c r="C385" s="38">
        <f>Ship_BOG*$B385+Ship_FixedL</f>
        <v>95830.1268292683</v>
      </c>
      <c r="D385" s="38">
        <f>Ship_CostNcmp</f>
        <v>38593.5483870968</v>
      </c>
      <c r="E385" s="38" t="e">
        <f>IF(ABS($B385-Ship_P_H2)&lt;=0.025,C385,NA())</f>
        <v>#N/A</v>
      </c>
      <c r="F385" s="38" t="e">
        <f>IF(ISNUMBER(Ship_BE),IF(ABS($B385-Ship_BE)&lt;=0.025,Ship_CostNcmp,NA()),NA())</f>
        <v>#N/A</v>
      </c>
      <c r="G385" s="38" t="e">
        <f>IF(ABS($B385-Ship_SW)&lt;=0.025,MAX(Ship_BOG*10+Ship_FixedL,Ship_CostNcmp),NA())</f>
        <v>#N/A</v>
      </c>
      <c r="H385" s="39">
        <f>IF(MOD(163,20)=0,TEXT($B385,"0"),"")</f>
        <v/>
      </c>
    </row>
    <row r="386" spans="2:8" ht="17" customHeight="1">
      <c r="B386" s="36">
        <v>8.199999999999999</v>
      </c>
      <c r="C386" s="38">
        <f>Ship_BOG*$B386+Ship_FixedL</f>
        <v>96396.5268292683</v>
      </c>
      <c r="D386" s="38">
        <f>Ship_CostNcmp</f>
        <v>38593.5483870968</v>
      </c>
      <c r="E386" s="38" t="e">
        <f>IF(ABS($B386-Ship_P_H2)&lt;=0.025,C386,NA())</f>
        <v>#N/A</v>
      </c>
      <c r="F386" s="38" t="e">
        <f>IF(ISNUMBER(Ship_BE),IF(ABS($B386-Ship_BE)&lt;=0.025,Ship_CostNcmp,NA()),NA())</f>
        <v>#N/A</v>
      </c>
      <c r="G386" s="38" t="e">
        <f>IF(ABS($B386-Ship_SW)&lt;=0.025,MAX(Ship_BOG*10+Ship_FixedL,Ship_CostNcmp),NA())</f>
        <v>#N/A</v>
      </c>
      <c r="H386" s="39">
        <f>IF(MOD(164,20)=0,TEXT($B386,"0"),"")</f>
        <v/>
      </c>
    </row>
    <row r="387" spans="2:8" ht="17" customHeight="1">
      <c r="B387" s="36">
        <v>8.25</v>
      </c>
      <c r="C387" s="38">
        <f>Ship_BOG*$B387+Ship_FixedL</f>
        <v>96962.9268292683</v>
      </c>
      <c r="D387" s="38">
        <f>Ship_CostNcmp</f>
        <v>38593.5483870968</v>
      </c>
      <c r="E387" s="38" t="e">
        <f>IF(ABS($B387-Ship_P_H2)&lt;=0.025,C387,NA())</f>
        <v>#N/A</v>
      </c>
      <c r="F387" s="38" t="e">
        <f>IF(ISNUMBER(Ship_BE),IF(ABS($B387-Ship_BE)&lt;=0.025,Ship_CostNcmp,NA()),NA())</f>
        <v>#N/A</v>
      </c>
      <c r="G387" s="38" t="e">
        <f>IF(ABS($B387-Ship_SW)&lt;=0.025,MAX(Ship_BOG*10+Ship_FixedL,Ship_CostNcmp),NA())</f>
        <v>#N/A</v>
      </c>
      <c r="H387" s="39">
        <f>IF(MOD(165,20)=0,TEXT($B387,"0"),"")</f>
        <v/>
      </c>
    </row>
    <row r="388" spans="2:8" ht="17" customHeight="1">
      <c r="B388" s="36">
        <v>8.300000000000001</v>
      </c>
      <c r="C388" s="38">
        <f>Ship_BOG*$B388+Ship_FixedL</f>
        <v>97529.3268292683</v>
      </c>
      <c r="D388" s="38">
        <f>Ship_CostNcmp</f>
        <v>38593.5483870968</v>
      </c>
      <c r="E388" s="38" t="e">
        <f>IF(ABS($B388-Ship_P_H2)&lt;=0.025,C388,NA())</f>
        <v>#N/A</v>
      </c>
      <c r="F388" s="38" t="e">
        <f>IF(ISNUMBER(Ship_BE),IF(ABS($B388-Ship_BE)&lt;=0.025,Ship_CostNcmp,NA()),NA())</f>
        <v>#N/A</v>
      </c>
      <c r="G388" s="38" t="e">
        <f>IF(ABS($B388-Ship_SW)&lt;=0.025,MAX(Ship_BOG*10+Ship_FixedL,Ship_CostNcmp),NA())</f>
        <v>#N/A</v>
      </c>
      <c r="H388" s="39">
        <f>IF(MOD(166,20)=0,TEXT($B388,"0"),"")</f>
        <v/>
      </c>
    </row>
    <row r="389" spans="2:8" ht="17" customHeight="1">
      <c r="B389" s="36">
        <v>8.35</v>
      </c>
      <c r="C389" s="38">
        <f>Ship_BOG*$B389+Ship_FixedL</f>
        <v>98095.7268292683</v>
      </c>
      <c r="D389" s="38">
        <f>Ship_CostNcmp</f>
        <v>38593.5483870968</v>
      </c>
      <c r="E389" s="38" t="e">
        <f>IF(ABS($B389-Ship_P_H2)&lt;=0.025,C389,NA())</f>
        <v>#N/A</v>
      </c>
      <c r="F389" s="38" t="e">
        <f>IF(ISNUMBER(Ship_BE),IF(ABS($B389-Ship_BE)&lt;=0.025,Ship_CostNcmp,NA()),NA())</f>
        <v>#N/A</v>
      </c>
      <c r="G389" s="38" t="e">
        <f>IF(ABS($B389-Ship_SW)&lt;=0.025,MAX(Ship_BOG*10+Ship_FixedL,Ship_CostNcmp),NA())</f>
        <v>#N/A</v>
      </c>
      <c r="H389" s="39">
        <f>IF(MOD(167,20)=0,TEXT($B389,"0"),"")</f>
        <v/>
      </c>
    </row>
    <row r="390" spans="2:8" ht="17" customHeight="1">
      <c r="B390" s="36">
        <v>8.4</v>
      </c>
      <c r="C390" s="38">
        <f>Ship_BOG*$B390+Ship_FixedL</f>
        <v>98662.1268292683</v>
      </c>
      <c r="D390" s="38">
        <f>Ship_CostNcmp</f>
        <v>38593.5483870968</v>
      </c>
      <c r="E390" s="38" t="e">
        <f>IF(ABS($B390-Ship_P_H2)&lt;=0.025,C390,NA())</f>
        <v>#N/A</v>
      </c>
      <c r="F390" s="38" t="e">
        <f>IF(ISNUMBER(Ship_BE),IF(ABS($B390-Ship_BE)&lt;=0.025,Ship_CostNcmp,NA()),NA())</f>
        <v>#N/A</v>
      </c>
      <c r="G390" s="38" t="e">
        <f>IF(ABS($B390-Ship_SW)&lt;=0.025,MAX(Ship_BOG*10+Ship_FixedL,Ship_CostNcmp),NA())</f>
        <v>#N/A</v>
      </c>
      <c r="H390" s="39">
        <f>IF(MOD(168,20)=0,TEXT($B390,"0"),"")</f>
        <v/>
      </c>
    </row>
    <row r="391" spans="2:8" ht="17" customHeight="1">
      <c r="B391" s="36">
        <v>8.449999999999999</v>
      </c>
      <c r="C391" s="38">
        <f>Ship_BOG*$B391+Ship_FixedL</f>
        <v>99228.5268292683</v>
      </c>
      <c r="D391" s="38">
        <f>Ship_CostNcmp</f>
        <v>38593.5483870968</v>
      </c>
      <c r="E391" s="38" t="e">
        <f>IF(ABS($B391-Ship_P_H2)&lt;=0.025,C391,NA())</f>
        <v>#N/A</v>
      </c>
      <c r="F391" s="38" t="e">
        <f>IF(ISNUMBER(Ship_BE),IF(ABS($B391-Ship_BE)&lt;=0.025,Ship_CostNcmp,NA()),NA())</f>
        <v>#N/A</v>
      </c>
      <c r="G391" s="38" t="e">
        <f>IF(ABS($B391-Ship_SW)&lt;=0.025,MAX(Ship_BOG*10+Ship_FixedL,Ship_CostNcmp),NA())</f>
        <v>#N/A</v>
      </c>
      <c r="H391" s="39">
        <f>IF(MOD(169,20)=0,TEXT($B391,"0"),"")</f>
        <v/>
      </c>
    </row>
    <row r="392" spans="2:8" ht="17" customHeight="1">
      <c r="B392" s="36">
        <v>8.5</v>
      </c>
      <c r="C392" s="38">
        <f>Ship_BOG*$B392+Ship_FixedL</f>
        <v>99794.9268292683</v>
      </c>
      <c r="D392" s="38">
        <f>Ship_CostNcmp</f>
        <v>38593.5483870968</v>
      </c>
      <c r="E392" s="38" t="e">
        <f>IF(ABS($B392-Ship_P_H2)&lt;=0.025,C392,NA())</f>
        <v>#N/A</v>
      </c>
      <c r="F392" s="38" t="e">
        <f>IF(ISNUMBER(Ship_BE),IF(ABS($B392-Ship_BE)&lt;=0.025,Ship_CostNcmp,NA()),NA())</f>
        <v>#N/A</v>
      </c>
      <c r="G392" s="38" t="e">
        <f>IF(ABS($B392-Ship_SW)&lt;=0.025,MAX(Ship_BOG*10+Ship_FixedL,Ship_CostNcmp),NA())</f>
        <v>#N/A</v>
      </c>
      <c r="H392" s="39">
        <f>IF(MOD(170,20)=0,TEXT($B392,"0"),"")</f>
        <v/>
      </c>
    </row>
    <row r="393" spans="2:8" ht="17" customHeight="1">
      <c r="B393" s="36">
        <v>8.550000000000001</v>
      </c>
      <c r="C393" s="38">
        <f>Ship_BOG*$B393+Ship_FixedL</f>
        <v>100361.326829268</v>
      </c>
      <c r="D393" s="38">
        <f>Ship_CostNcmp</f>
        <v>38593.5483870968</v>
      </c>
      <c r="E393" s="38" t="e">
        <f>IF(ABS($B393-Ship_P_H2)&lt;=0.025,C393,NA())</f>
        <v>#N/A</v>
      </c>
      <c r="F393" s="38" t="e">
        <f>IF(ISNUMBER(Ship_BE),IF(ABS($B393-Ship_BE)&lt;=0.025,Ship_CostNcmp,NA()),NA())</f>
        <v>#N/A</v>
      </c>
      <c r="G393" s="38" t="e">
        <f>IF(ABS($B393-Ship_SW)&lt;=0.025,MAX(Ship_BOG*10+Ship_FixedL,Ship_CostNcmp),NA())</f>
        <v>#N/A</v>
      </c>
      <c r="H393" s="39">
        <f>IF(MOD(171,20)=0,TEXT($B393,"0"),"")</f>
        <v/>
      </c>
    </row>
    <row r="394" spans="2:8" ht="17" customHeight="1">
      <c r="B394" s="36">
        <v>8.6</v>
      </c>
      <c r="C394" s="38">
        <f>Ship_BOG*$B394+Ship_FixedL</f>
        <v>100927.726829268</v>
      </c>
      <c r="D394" s="38">
        <f>Ship_CostNcmp</f>
        <v>38593.5483870968</v>
      </c>
      <c r="E394" s="38" t="e">
        <f>IF(ABS($B394-Ship_P_H2)&lt;=0.025,C394,NA())</f>
        <v>#N/A</v>
      </c>
      <c r="F394" s="38" t="e">
        <f>IF(ISNUMBER(Ship_BE),IF(ABS($B394-Ship_BE)&lt;=0.025,Ship_CostNcmp,NA()),NA())</f>
        <v>#N/A</v>
      </c>
      <c r="G394" s="38" t="e">
        <f>IF(ABS($B394-Ship_SW)&lt;=0.025,MAX(Ship_BOG*10+Ship_FixedL,Ship_CostNcmp),NA())</f>
        <v>#N/A</v>
      </c>
      <c r="H394" s="39">
        <f>IF(MOD(172,20)=0,TEXT($B394,"0"),"")</f>
        <v/>
      </c>
    </row>
    <row r="395" spans="2:8" ht="17" customHeight="1">
      <c r="B395" s="36">
        <v>8.65</v>
      </c>
      <c r="C395" s="38">
        <f>Ship_BOG*$B395+Ship_FixedL</f>
        <v>101494.126829268</v>
      </c>
      <c r="D395" s="38">
        <f>Ship_CostNcmp</f>
        <v>38593.5483870968</v>
      </c>
      <c r="E395" s="38" t="e">
        <f>IF(ABS($B395-Ship_P_H2)&lt;=0.025,C395,NA())</f>
        <v>#N/A</v>
      </c>
      <c r="F395" s="38" t="e">
        <f>IF(ISNUMBER(Ship_BE),IF(ABS($B395-Ship_BE)&lt;=0.025,Ship_CostNcmp,NA()),NA())</f>
        <v>#N/A</v>
      </c>
      <c r="G395" s="38" t="e">
        <f>IF(ABS($B395-Ship_SW)&lt;=0.025,MAX(Ship_BOG*10+Ship_FixedL,Ship_CostNcmp),NA())</f>
        <v>#N/A</v>
      </c>
      <c r="H395" s="39">
        <f>IF(MOD(173,20)=0,TEXT($B395,"0"),"")</f>
        <v/>
      </c>
    </row>
    <row r="396" spans="2:8" ht="17" customHeight="1">
      <c r="B396" s="36">
        <v>8.699999999999999</v>
      </c>
      <c r="C396" s="38">
        <f>Ship_BOG*$B396+Ship_FixedL</f>
        <v>102060.526829268</v>
      </c>
      <c r="D396" s="38">
        <f>Ship_CostNcmp</f>
        <v>38593.5483870968</v>
      </c>
      <c r="E396" s="38" t="e">
        <f>IF(ABS($B396-Ship_P_H2)&lt;=0.025,C396,NA())</f>
        <v>#N/A</v>
      </c>
      <c r="F396" s="38" t="e">
        <f>IF(ISNUMBER(Ship_BE),IF(ABS($B396-Ship_BE)&lt;=0.025,Ship_CostNcmp,NA()),NA())</f>
        <v>#N/A</v>
      </c>
      <c r="G396" s="38" t="e">
        <f>IF(ABS($B396-Ship_SW)&lt;=0.025,MAX(Ship_BOG*10+Ship_FixedL,Ship_CostNcmp),NA())</f>
        <v>#N/A</v>
      </c>
      <c r="H396" s="39">
        <f>IF(MOD(174,20)=0,TEXT($B396,"0"),"")</f>
        <v/>
      </c>
    </row>
    <row r="397" spans="2:8" ht="17" customHeight="1">
      <c r="B397" s="36">
        <v>8.75</v>
      </c>
      <c r="C397" s="38">
        <f>Ship_BOG*$B397+Ship_FixedL</f>
        <v>102626.926829268</v>
      </c>
      <c r="D397" s="38">
        <f>Ship_CostNcmp</f>
        <v>38593.5483870968</v>
      </c>
      <c r="E397" s="38" t="e">
        <f>IF(ABS($B397-Ship_P_H2)&lt;=0.025,C397,NA())</f>
        <v>#N/A</v>
      </c>
      <c r="F397" s="38" t="e">
        <f>IF(ISNUMBER(Ship_BE),IF(ABS($B397-Ship_BE)&lt;=0.025,Ship_CostNcmp,NA()),NA())</f>
        <v>#N/A</v>
      </c>
      <c r="G397" s="38" t="e">
        <f>IF(ABS($B397-Ship_SW)&lt;=0.025,MAX(Ship_BOG*10+Ship_FixedL,Ship_CostNcmp),NA())</f>
        <v>#N/A</v>
      </c>
      <c r="H397" s="39">
        <f>IF(MOD(175,20)=0,TEXT($B397,"0"),"")</f>
        <v/>
      </c>
    </row>
    <row r="398" spans="2:8" ht="17" customHeight="1">
      <c r="B398" s="36">
        <v>8.800000000000001</v>
      </c>
      <c r="C398" s="38">
        <f>Ship_BOG*$B398+Ship_FixedL</f>
        <v>103193.326829268</v>
      </c>
      <c r="D398" s="38">
        <f>Ship_CostNcmp</f>
        <v>38593.5483870968</v>
      </c>
      <c r="E398" s="38" t="e">
        <f>IF(ABS($B398-Ship_P_H2)&lt;=0.025,C398,NA())</f>
        <v>#N/A</v>
      </c>
      <c r="F398" s="38" t="e">
        <f>IF(ISNUMBER(Ship_BE),IF(ABS($B398-Ship_BE)&lt;=0.025,Ship_CostNcmp,NA()),NA())</f>
        <v>#N/A</v>
      </c>
      <c r="G398" s="38" t="e">
        <f>IF(ABS($B398-Ship_SW)&lt;=0.025,MAX(Ship_BOG*10+Ship_FixedL,Ship_CostNcmp),NA())</f>
        <v>#N/A</v>
      </c>
      <c r="H398" s="39">
        <f>IF(MOD(176,20)=0,TEXT($B398,"0"),"")</f>
        <v/>
      </c>
    </row>
    <row r="399" spans="2:8" ht="17" customHeight="1">
      <c r="B399" s="36">
        <v>8.85</v>
      </c>
      <c r="C399" s="38">
        <f>Ship_BOG*$B399+Ship_FixedL</f>
        <v>103759.726829268</v>
      </c>
      <c r="D399" s="38">
        <f>Ship_CostNcmp</f>
        <v>38593.5483870968</v>
      </c>
      <c r="E399" s="38" t="e">
        <f>IF(ABS($B399-Ship_P_H2)&lt;=0.025,C399,NA())</f>
        <v>#N/A</v>
      </c>
      <c r="F399" s="38" t="e">
        <f>IF(ISNUMBER(Ship_BE),IF(ABS($B399-Ship_BE)&lt;=0.025,Ship_CostNcmp,NA()),NA())</f>
        <v>#N/A</v>
      </c>
      <c r="G399" s="38" t="e">
        <f>IF(ABS($B399-Ship_SW)&lt;=0.025,MAX(Ship_BOG*10+Ship_FixedL,Ship_CostNcmp),NA())</f>
        <v>#N/A</v>
      </c>
      <c r="H399" s="39">
        <f>IF(MOD(177,20)=0,TEXT($B399,"0"),"")</f>
        <v/>
      </c>
    </row>
    <row r="400" spans="2:8" ht="17" customHeight="1">
      <c r="B400" s="36">
        <v>8.9</v>
      </c>
      <c r="C400" s="38">
        <f>Ship_BOG*$B400+Ship_FixedL</f>
        <v>104326.126829268</v>
      </c>
      <c r="D400" s="38">
        <f>Ship_CostNcmp</f>
        <v>38593.5483870968</v>
      </c>
      <c r="E400" s="38" t="e">
        <f>IF(ABS($B400-Ship_P_H2)&lt;=0.025,C400,NA())</f>
        <v>#N/A</v>
      </c>
      <c r="F400" s="38" t="e">
        <f>IF(ISNUMBER(Ship_BE),IF(ABS($B400-Ship_BE)&lt;=0.025,Ship_CostNcmp,NA()),NA())</f>
        <v>#N/A</v>
      </c>
      <c r="G400" s="38" t="e">
        <f>IF(ABS($B400-Ship_SW)&lt;=0.025,MAX(Ship_BOG*10+Ship_FixedL,Ship_CostNcmp),NA())</f>
        <v>#N/A</v>
      </c>
      <c r="H400" s="39">
        <f>IF(MOD(178,20)=0,TEXT($B400,"0"),"")</f>
        <v/>
      </c>
    </row>
    <row r="401" spans="2:8" ht="17" customHeight="1">
      <c r="B401" s="36">
        <v>8.949999999999999</v>
      </c>
      <c r="C401" s="38">
        <f>Ship_BOG*$B401+Ship_FixedL</f>
        <v>104892.526829268</v>
      </c>
      <c r="D401" s="38">
        <f>Ship_CostNcmp</f>
        <v>38593.5483870968</v>
      </c>
      <c r="E401" s="38" t="e">
        <f>IF(ABS($B401-Ship_P_H2)&lt;=0.025,C401,NA())</f>
        <v>#N/A</v>
      </c>
      <c r="F401" s="38" t="e">
        <f>IF(ISNUMBER(Ship_BE),IF(ABS($B401-Ship_BE)&lt;=0.025,Ship_CostNcmp,NA()),NA())</f>
        <v>#N/A</v>
      </c>
      <c r="G401" s="38" t="e">
        <f>IF(ABS($B401-Ship_SW)&lt;=0.025,MAX(Ship_BOG*10+Ship_FixedL,Ship_CostNcmp),NA())</f>
        <v>#N/A</v>
      </c>
      <c r="H401" s="39">
        <f>IF(MOD(179,20)=0,TEXT($B401,"0"),"")</f>
        <v/>
      </c>
    </row>
    <row r="402" spans="2:8" ht="17" customHeight="1">
      <c r="B402" s="36">
        <v>9</v>
      </c>
      <c r="C402" s="38">
        <f>Ship_BOG*$B402+Ship_FixedL</f>
        <v>105458.926829268</v>
      </c>
      <c r="D402" s="38">
        <f>Ship_CostNcmp</f>
        <v>38593.5483870968</v>
      </c>
      <c r="E402" s="38" t="e">
        <f>IF(ABS($B402-Ship_P_H2)&lt;=0.025,C402,NA())</f>
        <v>#N/A</v>
      </c>
      <c r="F402" s="38" t="e">
        <f>IF(ISNUMBER(Ship_BE),IF(ABS($B402-Ship_BE)&lt;=0.025,Ship_CostNcmp,NA()),NA())</f>
        <v>#N/A</v>
      </c>
      <c r="G402" s="38" t="e">
        <f>IF(ABS($B402-Ship_SW)&lt;=0.025,MAX(Ship_BOG*10+Ship_FixedL,Ship_CostNcmp),NA())</f>
        <v>#N/A</v>
      </c>
      <c r="H402" s="39" t="str">
        <f>IF(MOD(180,20)=0,TEXT($B402,"0"),"")</f>
        <v>9</v>
      </c>
    </row>
    <row r="403" spans="2:8" ht="17" customHeight="1">
      <c r="B403" s="36">
        <v>9.050000000000001</v>
      </c>
      <c r="C403" s="38">
        <f>Ship_BOG*$B403+Ship_FixedL</f>
        <v>106025.326829268</v>
      </c>
      <c r="D403" s="38">
        <f>Ship_CostNcmp</f>
        <v>38593.5483870968</v>
      </c>
      <c r="E403" s="38" t="e">
        <f>IF(ABS($B403-Ship_P_H2)&lt;=0.025,C403,NA())</f>
        <v>#N/A</v>
      </c>
      <c r="F403" s="38" t="e">
        <f>IF(ISNUMBER(Ship_BE),IF(ABS($B403-Ship_BE)&lt;=0.025,Ship_CostNcmp,NA()),NA())</f>
        <v>#N/A</v>
      </c>
      <c r="G403" s="38" t="e">
        <f>IF(ABS($B403-Ship_SW)&lt;=0.025,MAX(Ship_BOG*10+Ship_FixedL,Ship_CostNcmp),NA())</f>
        <v>#N/A</v>
      </c>
      <c r="H403" s="39">
        <f>IF(MOD(181,20)=0,TEXT($B403,"0"),"")</f>
        <v/>
      </c>
    </row>
    <row r="404" spans="2:8" ht="17" customHeight="1">
      <c r="B404" s="36">
        <v>9.1</v>
      </c>
      <c r="C404" s="38">
        <f>Ship_BOG*$B404+Ship_FixedL</f>
        <v>106591.726829268</v>
      </c>
      <c r="D404" s="38">
        <f>Ship_CostNcmp</f>
        <v>38593.5483870968</v>
      </c>
      <c r="E404" s="38" t="e">
        <f>IF(ABS($B404-Ship_P_H2)&lt;=0.025,C404,NA())</f>
        <v>#N/A</v>
      </c>
      <c r="F404" s="38" t="e">
        <f>IF(ISNUMBER(Ship_BE),IF(ABS($B404-Ship_BE)&lt;=0.025,Ship_CostNcmp,NA()),NA())</f>
        <v>#N/A</v>
      </c>
      <c r="G404" s="38" t="e">
        <f>IF(ABS($B404-Ship_SW)&lt;=0.025,MAX(Ship_BOG*10+Ship_FixedL,Ship_CostNcmp),NA())</f>
        <v>#N/A</v>
      </c>
      <c r="H404" s="39">
        <f>IF(MOD(182,20)=0,TEXT($B404,"0"),"")</f>
        <v/>
      </c>
    </row>
    <row r="405" spans="2:8" ht="17" customHeight="1">
      <c r="B405" s="36">
        <v>9.15</v>
      </c>
      <c r="C405" s="38">
        <f>Ship_BOG*$B405+Ship_FixedL</f>
        <v>107158.126829268</v>
      </c>
      <c r="D405" s="38">
        <f>Ship_CostNcmp</f>
        <v>38593.5483870968</v>
      </c>
      <c r="E405" s="38" t="e">
        <f>IF(ABS($B405-Ship_P_H2)&lt;=0.025,C405,NA())</f>
        <v>#N/A</v>
      </c>
      <c r="F405" s="38" t="e">
        <f>IF(ISNUMBER(Ship_BE),IF(ABS($B405-Ship_BE)&lt;=0.025,Ship_CostNcmp,NA()),NA())</f>
        <v>#N/A</v>
      </c>
      <c r="G405" s="38" t="e">
        <f>IF(ABS($B405-Ship_SW)&lt;=0.025,MAX(Ship_BOG*10+Ship_FixedL,Ship_CostNcmp),NA())</f>
        <v>#N/A</v>
      </c>
      <c r="H405" s="39">
        <f>IF(MOD(183,20)=0,TEXT($B405,"0"),"")</f>
        <v/>
      </c>
    </row>
    <row r="406" spans="2:8" ht="17" customHeight="1">
      <c r="B406" s="36">
        <v>9.199999999999999</v>
      </c>
      <c r="C406" s="38">
        <f>Ship_BOG*$B406+Ship_FixedL</f>
        <v>107724.526829268</v>
      </c>
      <c r="D406" s="38">
        <f>Ship_CostNcmp</f>
        <v>38593.5483870968</v>
      </c>
      <c r="E406" s="38" t="e">
        <f>IF(ABS($B406-Ship_P_H2)&lt;=0.025,C406,NA())</f>
        <v>#N/A</v>
      </c>
      <c r="F406" s="38" t="e">
        <f>IF(ISNUMBER(Ship_BE),IF(ABS($B406-Ship_BE)&lt;=0.025,Ship_CostNcmp,NA()),NA())</f>
        <v>#N/A</v>
      </c>
      <c r="G406" s="38" t="e">
        <f>IF(ABS($B406-Ship_SW)&lt;=0.025,MAX(Ship_BOG*10+Ship_FixedL,Ship_CostNcmp),NA())</f>
        <v>#N/A</v>
      </c>
      <c r="H406" s="39">
        <f>IF(MOD(184,20)=0,TEXT($B406,"0"),"")</f>
        <v/>
      </c>
    </row>
    <row r="407" spans="2:8" ht="17" customHeight="1">
      <c r="B407" s="36">
        <v>9.25</v>
      </c>
      <c r="C407" s="38">
        <f>Ship_BOG*$B407+Ship_FixedL</f>
        <v>108290.926829268</v>
      </c>
      <c r="D407" s="38">
        <f>Ship_CostNcmp</f>
        <v>38593.5483870968</v>
      </c>
      <c r="E407" s="38" t="e">
        <f>IF(ABS($B407-Ship_P_H2)&lt;=0.025,C407,NA())</f>
        <v>#N/A</v>
      </c>
      <c r="F407" s="38" t="e">
        <f>IF(ISNUMBER(Ship_BE),IF(ABS($B407-Ship_BE)&lt;=0.025,Ship_CostNcmp,NA()),NA())</f>
        <v>#N/A</v>
      </c>
      <c r="G407" s="38" t="e">
        <f>IF(ABS($B407-Ship_SW)&lt;=0.025,MAX(Ship_BOG*10+Ship_FixedL,Ship_CostNcmp),NA())</f>
        <v>#N/A</v>
      </c>
      <c r="H407" s="39">
        <f>IF(MOD(185,20)=0,TEXT($B407,"0"),"")</f>
        <v/>
      </c>
    </row>
    <row r="408" spans="2:8" ht="17" customHeight="1">
      <c r="B408" s="36">
        <v>9.300000000000001</v>
      </c>
      <c r="C408" s="38">
        <f>Ship_BOG*$B408+Ship_FixedL</f>
        <v>108857.326829268</v>
      </c>
      <c r="D408" s="38">
        <f>Ship_CostNcmp</f>
        <v>38593.5483870968</v>
      </c>
      <c r="E408" s="38" t="e">
        <f>IF(ABS($B408-Ship_P_H2)&lt;=0.025,C408,NA())</f>
        <v>#N/A</v>
      </c>
      <c r="F408" s="38" t="e">
        <f>IF(ISNUMBER(Ship_BE),IF(ABS($B408-Ship_BE)&lt;=0.025,Ship_CostNcmp,NA()),NA())</f>
        <v>#N/A</v>
      </c>
      <c r="G408" s="38" t="e">
        <f>IF(ABS($B408-Ship_SW)&lt;=0.025,MAX(Ship_BOG*10+Ship_FixedL,Ship_CostNcmp),NA())</f>
        <v>#N/A</v>
      </c>
      <c r="H408" s="39">
        <f>IF(MOD(186,20)=0,TEXT($B408,"0"),"")</f>
        <v/>
      </c>
    </row>
    <row r="409" spans="2:8" ht="17" customHeight="1">
      <c r="B409" s="36">
        <v>9.35</v>
      </c>
      <c r="C409" s="38">
        <f>Ship_BOG*$B409+Ship_FixedL</f>
        <v>109423.726829268</v>
      </c>
      <c r="D409" s="38">
        <f>Ship_CostNcmp</f>
        <v>38593.5483870968</v>
      </c>
      <c r="E409" s="38" t="e">
        <f>IF(ABS($B409-Ship_P_H2)&lt;=0.025,C409,NA())</f>
        <v>#N/A</v>
      </c>
      <c r="F409" s="38" t="e">
        <f>IF(ISNUMBER(Ship_BE),IF(ABS($B409-Ship_BE)&lt;=0.025,Ship_CostNcmp,NA()),NA())</f>
        <v>#N/A</v>
      </c>
      <c r="G409" s="38" t="e">
        <f>IF(ABS($B409-Ship_SW)&lt;=0.025,MAX(Ship_BOG*10+Ship_FixedL,Ship_CostNcmp),NA())</f>
        <v>#N/A</v>
      </c>
      <c r="H409" s="39">
        <f>IF(MOD(187,20)=0,TEXT($B409,"0"),"")</f>
        <v/>
      </c>
    </row>
    <row r="410" spans="2:8" ht="17" customHeight="1">
      <c r="B410" s="36">
        <v>9.4</v>
      </c>
      <c r="C410" s="38">
        <f>Ship_BOG*$B410+Ship_FixedL</f>
        <v>109990.126829268</v>
      </c>
      <c r="D410" s="38">
        <f>Ship_CostNcmp</f>
        <v>38593.5483870968</v>
      </c>
      <c r="E410" s="38" t="e">
        <f>IF(ABS($B410-Ship_P_H2)&lt;=0.025,C410,NA())</f>
        <v>#N/A</v>
      </c>
      <c r="F410" s="38" t="e">
        <f>IF(ISNUMBER(Ship_BE),IF(ABS($B410-Ship_BE)&lt;=0.025,Ship_CostNcmp,NA()),NA())</f>
        <v>#N/A</v>
      </c>
      <c r="G410" s="38" t="e">
        <f>IF(ABS($B410-Ship_SW)&lt;=0.025,MAX(Ship_BOG*10+Ship_FixedL,Ship_CostNcmp),NA())</f>
        <v>#N/A</v>
      </c>
      <c r="H410" s="39">
        <f>IF(MOD(188,20)=0,TEXT($B410,"0"),"")</f>
        <v/>
      </c>
    </row>
    <row r="411" spans="2:8" ht="17" customHeight="1">
      <c r="B411" s="36">
        <v>9.449999999999999</v>
      </c>
      <c r="C411" s="38">
        <f>Ship_BOG*$B411+Ship_FixedL</f>
        <v>110556.526829268</v>
      </c>
      <c r="D411" s="38">
        <f>Ship_CostNcmp</f>
        <v>38593.5483870968</v>
      </c>
      <c r="E411" s="38" t="e">
        <f>IF(ABS($B411-Ship_P_H2)&lt;=0.025,C411,NA())</f>
        <v>#N/A</v>
      </c>
      <c r="F411" s="38" t="e">
        <f>IF(ISNUMBER(Ship_BE),IF(ABS($B411-Ship_BE)&lt;=0.025,Ship_CostNcmp,NA()),NA())</f>
        <v>#N/A</v>
      </c>
      <c r="G411" s="38" t="e">
        <f>IF(ABS($B411-Ship_SW)&lt;=0.025,MAX(Ship_BOG*10+Ship_FixedL,Ship_CostNcmp),NA())</f>
        <v>#N/A</v>
      </c>
      <c r="H411" s="39">
        <f>IF(MOD(189,20)=0,TEXT($B411,"0"),"")</f>
        <v/>
      </c>
    </row>
    <row r="412" spans="2:8" ht="17" customHeight="1">
      <c r="B412" s="36">
        <v>9.5</v>
      </c>
      <c r="C412" s="38">
        <f>Ship_BOG*$B412+Ship_FixedL</f>
        <v>111122.926829268</v>
      </c>
      <c r="D412" s="38">
        <f>Ship_CostNcmp</f>
        <v>38593.5483870968</v>
      </c>
      <c r="E412" s="38" t="e">
        <f>IF(ABS($B412-Ship_P_H2)&lt;=0.025,C412,NA())</f>
        <v>#N/A</v>
      </c>
      <c r="F412" s="38" t="e">
        <f>IF(ISNUMBER(Ship_BE),IF(ABS($B412-Ship_BE)&lt;=0.025,Ship_CostNcmp,NA()),NA())</f>
        <v>#N/A</v>
      </c>
      <c r="G412" s="38" t="e">
        <f>IF(ABS($B412-Ship_SW)&lt;=0.025,MAX(Ship_BOG*10+Ship_FixedL,Ship_CostNcmp),NA())</f>
        <v>#N/A</v>
      </c>
      <c r="H412" s="39">
        <f>IF(MOD(190,20)=0,TEXT($B412,"0"),"")</f>
        <v/>
      </c>
    </row>
    <row r="413" spans="2:8" ht="17" customHeight="1">
      <c r="B413" s="36">
        <v>9.550000000000001</v>
      </c>
      <c r="C413" s="38">
        <f>Ship_BOG*$B413+Ship_FixedL</f>
        <v>111689.326829268</v>
      </c>
      <c r="D413" s="38">
        <f>Ship_CostNcmp</f>
        <v>38593.5483870968</v>
      </c>
      <c r="E413" s="38" t="e">
        <f>IF(ABS($B413-Ship_P_H2)&lt;=0.025,C413,NA())</f>
        <v>#N/A</v>
      </c>
      <c r="F413" s="38" t="e">
        <f>IF(ISNUMBER(Ship_BE),IF(ABS($B413-Ship_BE)&lt;=0.025,Ship_CostNcmp,NA()),NA())</f>
        <v>#N/A</v>
      </c>
      <c r="G413" s="38" t="e">
        <f>IF(ABS($B413-Ship_SW)&lt;=0.025,MAX(Ship_BOG*10+Ship_FixedL,Ship_CostNcmp),NA())</f>
        <v>#N/A</v>
      </c>
      <c r="H413" s="39">
        <f>IF(MOD(191,20)=0,TEXT($B413,"0"),"")</f>
        <v/>
      </c>
    </row>
    <row r="414" spans="2:8" ht="17" customHeight="1">
      <c r="B414" s="36">
        <v>9.6</v>
      </c>
      <c r="C414" s="38">
        <f>Ship_BOG*$B414+Ship_FixedL</f>
        <v>112255.726829268</v>
      </c>
      <c r="D414" s="38">
        <f>Ship_CostNcmp</f>
        <v>38593.5483870968</v>
      </c>
      <c r="E414" s="38" t="e">
        <f>IF(ABS($B414-Ship_P_H2)&lt;=0.025,C414,NA())</f>
        <v>#N/A</v>
      </c>
      <c r="F414" s="38" t="e">
        <f>IF(ISNUMBER(Ship_BE),IF(ABS($B414-Ship_BE)&lt;=0.025,Ship_CostNcmp,NA()),NA())</f>
        <v>#N/A</v>
      </c>
      <c r="G414" s="38" t="e">
        <f>IF(ABS($B414-Ship_SW)&lt;=0.025,MAX(Ship_BOG*10+Ship_FixedL,Ship_CostNcmp),NA())</f>
        <v>#N/A</v>
      </c>
      <c r="H414" s="39">
        <f>IF(MOD(192,20)=0,TEXT($B414,"0"),"")</f>
        <v/>
      </c>
    </row>
    <row r="415" spans="2:8" ht="17" customHeight="1">
      <c r="B415" s="36">
        <v>9.65</v>
      </c>
      <c r="C415" s="38">
        <f>Ship_BOG*$B415+Ship_FixedL</f>
        <v>112822.126829268</v>
      </c>
      <c r="D415" s="38">
        <f>Ship_CostNcmp</f>
        <v>38593.5483870968</v>
      </c>
      <c r="E415" s="38" t="e">
        <f>IF(ABS($B415-Ship_P_H2)&lt;=0.025,C415,NA())</f>
        <v>#N/A</v>
      </c>
      <c r="F415" s="38" t="e">
        <f>IF(ISNUMBER(Ship_BE),IF(ABS($B415-Ship_BE)&lt;=0.025,Ship_CostNcmp,NA()),NA())</f>
        <v>#N/A</v>
      </c>
      <c r="G415" s="38" t="e">
        <f>IF(ABS($B415-Ship_SW)&lt;=0.025,MAX(Ship_BOG*10+Ship_FixedL,Ship_CostNcmp),NA())</f>
        <v>#N/A</v>
      </c>
      <c r="H415" s="39">
        <f>IF(MOD(193,20)=0,TEXT($B415,"0"),"")</f>
        <v/>
      </c>
    </row>
    <row r="416" spans="2:8" ht="17" customHeight="1">
      <c r="B416" s="36">
        <v>9.699999999999999</v>
      </c>
      <c r="C416" s="38">
        <f>Ship_BOG*$B416+Ship_FixedL</f>
        <v>113388.526829268</v>
      </c>
      <c r="D416" s="38">
        <f>Ship_CostNcmp</f>
        <v>38593.5483870968</v>
      </c>
      <c r="E416" s="38" t="e">
        <f>IF(ABS($B416-Ship_P_H2)&lt;=0.025,C416,NA())</f>
        <v>#N/A</v>
      </c>
      <c r="F416" s="38" t="e">
        <f>IF(ISNUMBER(Ship_BE),IF(ABS($B416-Ship_BE)&lt;=0.025,Ship_CostNcmp,NA()),NA())</f>
        <v>#N/A</v>
      </c>
      <c r="G416" s="38" t="e">
        <f>IF(ABS($B416-Ship_SW)&lt;=0.025,MAX(Ship_BOG*10+Ship_FixedL,Ship_CostNcmp),NA())</f>
        <v>#N/A</v>
      </c>
      <c r="H416" s="39">
        <f>IF(MOD(194,20)=0,TEXT($B416,"0"),"")</f>
        <v/>
      </c>
    </row>
    <row r="417" spans="2:13" ht="17" customHeight="1">
      <c r="B417" s="36">
        <v>9.75</v>
      </c>
      <c r="C417" s="38">
        <f>Ship_BOG*$B417+Ship_FixedL</f>
        <v>113954.926829268</v>
      </c>
      <c r="D417" s="38">
        <f>Ship_CostNcmp</f>
        <v>38593.5483870968</v>
      </c>
      <c r="E417" s="38" t="e">
        <f>IF(ABS($B417-Ship_P_H2)&lt;=0.025,C417,NA())</f>
        <v>#N/A</v>
      </c>
      <c r="F417" s="38" t="e">
        <f>IF(ISNUMBER(Ship_BE),IF(ABS($B417-Ship_BE)&lt;=0.025,Ship_CostNcmp,NA()),NA())</f>
        <v>#N/A</v>
      </c>
      <c r="G417" s="38" t="e">
        <f>IF(ABS($B417-Ship_SW)&lt;=0.025,MAX(Ship_BOG*10+Ship_FixedL,Ship_CostNcmp),NA())</f>
        <v>#N/A</v>
      </c>
      <c r="H417" s="39">
        <f>IF(MOD(195,20)=0,TEXT($B417,"0"),"")</f>
        <v/>
      </c>
    </row>
    <row r="418" spans="2:13" ht="17" customHeight="1">
      <c r="B418" s="36">
        <v>9.800000000000001</v>
      </c>
      <c r="C418" s="38">
        <f>Ship_BOG*$B418+Ship_FixedL</f>
        <v>114521.326829268</v>
      </c>
      <c r="D418" s="38">
        <f>Ship_CostNcmp</f>
        <v>38593.5483870968</v>
      </c>
      <c r="E418" s="38" t="e">
        <f>IF(ABS($B418-Ship_P_H2)&lt;=0.025,C418,NA())</f>
        <v>#N/A</v>
      </c>
      <c r="F418" s="38" t="e">
        <f>IF(ISNUMBER(Ship_BE),IF(ABS($B418-Ship_BE)&lt;=0.025,Ship_CostNcmp,NA()),NA())</f>
        <v>#N/A</v>
      </c>
      <c r="G418" s="38" t="e">
        <f>IF(ABS($B418-Ship_SW)&lt;=0.025,MAX(Ship_BOG*10+Ship_FixedL,Ship_CostNcmp),NA())</f>
        <v>#N/A</v>
      </c>
      <c r="H418" s="39">
        <f>IF(MOD(196,20)=0,TEXT($B418,"0"),"")</f>
        <v/>
      </c>
    </row>
    <row r="419" spans="2:13" ht="17" customHeight="1">
      <c r="B419" s="36">
        <v>9.85</v>
      </c>
      <c r="C419" s="38">
        <f>Ship_BOG*$B419+Ship_FixedL</f>
        <v>115087.726829268</v>
      </c>
      <c r="D419" s="38">
        <f>Ship_CostNcmp</f>
        <v>38593.5483870968</v>
      </c>
      <c r="E419" s="38" t="e">
        <f>IF(ABS($B419-Ship_P_H2)&lt;=0.025,C419,NA())</f>
        <v>#N/A</v>
      </c>
      <c r="F419" s="38" t="e">
        <f>IF(ISNUMBER(Ship_BE),IF(ABS($B419-Ship_BE)&lt;=0.025,Ship_CostNcmp,NA()),NA())</f>
        <v>#N/A</v>
      </c>
      <c r="G419" s="38" t="e">
        <f>IF(ABS($B419-Ship_SW)&lt;=0.025,MAX(Ship_BOG*10+Ship_FixedL,Ship_CostNcmp),NA())</f>
        <v>#N/A</v>
      </c>
      <c r="H419" s="39">
        <f>IF(MOD(197,20)=0,TEXT($B419,"0"),"")</f>
        <v/>
      </c>
    </row>
    <row r="420" spans="2:13" ht="17" customHeight="1">
      <c r="B420" s="36">
        <v>9.9</v>
      </c>
      <c r="C420" s="38">
        <f>Ship_BOG*$B420+Ship_FixedL</f>
        <v>115654.126829268</v>
      </c>
      <c r="D420" s="38">
        <f>Ship_CostNcmp</f>
        <v>38593.5483870968</v>
      </c>
      <c r="E420" s="38" t="e">
        <f>IF(ABS($B420-Ship_P_H2)&lt;=0.025,C420,NA())</f>
        <v>#N/A</v>
      </c>
      <c r="F420" s="38" t="e">
        <f>IF(ISNUMBER(Ship_BE),IF(ABS($B420-Ship_BE)&lt;=0.025,Ship_CostNcmp,NA()),NA())</f>
        <v>#N/A</v>
      </c>
      <c r="G420" s="38" t="e">
        <f>IF(ABS($B420-Ship_SW)&lt;=0.025,MAX(Ship_BOG*10+Ship_FixedL,Ship_CostNcmp),NA())</f>
        <v>#N/A</v>
      </c>
      <c r="H420" s="39">
        <f>IF(MOD(198,20)=0,TEXT($B420,"0"),"")</f>
        <v/>
      </c>
    </row>
    <row r="421" spans="2:13" ht="17" customHeight="1">
      <c r="B421" s="36">
        <v>9.949999999999999</v>
      </c>
      <c r="C421" s="38">
        <f>Ship_BOG*$B421+Ship_FixedL</f>
        <v>116220.526829268</v>
      </c>
      <c r="D421" s="38">
        <f>Ship_CostNcmp</f>
        <v>38593.5483870968</v>
      </c>
      <c r="E421" s="38" t="e">
        <f>IF(ABS($B421-Ship_P_H2)&lt;=0.025,C421,NA())</f>
        <v>#N/A</v>
      </c>
      <c r="F421" s="38" t="e">
        <f>IF(ISNUMBER(Ship_BE),IF(ABS($B421-Ship_BE)&lt;=0.025,Ship_CostNcmp,NA()),NA())</f>
        <v>#N/A</v>
      </c>
      <c r="G421" s="38" t="e">
        <f>IF(ABS($B421-Ship_SW)&lt;=0.025,MAX(Ship_BOG*10+Ship_FixedL,Ship_CostNcmp),NA())</f>
        <v>#N/A</v>
      </c>
      <c r="H421" s="39">
        <f>IF(MOD(199,20)=0,TEXT($B421,"0"),"")</f>
        <v/>
      </c>
    </row>
    <row r="422" spans="2:13" ht="17" customHeight="1">
      <c r="B422" s="36">
        <v>10</v>
      </c>
      <c r="C422" s="38">
        <f>Ship_BOG*$B422+Ship_FixedL</f>
        <v>116786.926829268</v>
      </c>
      <c r="D422" s="38">
        <f>Ship_CostNcmp</f>
        <v>38593.5483870968</v>
      </c>
      <c r="E422" s="38" t="e">
        <f>IF(ABS($B422-Ship_P_H2)&lt;=0.025,C422,NA())</f>
        <v>#N/A</v>
      </c>
      <c r="F422" s="38" t="e">
        <f>IF(ISNUMBER(Ship_BE),IF(ABS($B422-Ship_BE)&lt;=0.025,Ship_CostNcmp,NA()),NA())</f>
        <v>#N/A</v>
      </c>
      <c r="G422" s="38" t="e">
        <f>IF(ABS($B422-Ship_SW)&lt;=0.025,MAX(Ship_BOG*10+Ship_FixedL,Ship_CostNcmp),NA())</f>
        <v>#N/A</v>
      </c>
      <c r="H422" s="39" t="str">
        <f>IF(MOD(200,20)=0,TEXT($B422,"0"),"")</f>
        <v>10</v>
      </c>
    </row>
    <row r="425" spans="2:13" ht="17" customHeight="1">
      <c r="B425" s="7" t="s">
        <v>124</v>
      </c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spans="2:13" ht="42" customHeight="1">
      <c r="B426" s="24" t="s">
        <v>125</v>
      </c>
      <c r="C426" s="25" t="s">
        <v>126</v>
      </c>
      <c r="D426" s="25" t="s">
        <v>127</v>
      </c>
      <c r="E426" s="25" t="s">
        <v>128</v>
      </c>
      <c r="F426" s="25" t="s">
        <v>129</v>
      </c>
      <c r="G426" s="25" t="s">
        <v>130</v>
      </c>
      <c r="H426" s="25" t="s">
        <v>116</v>
      </c>
    </row>
    <row r="427" spans="2:13" ht="17" customHeight="1">
      <c r="B427" s="50">
        <v>200</v>
      </c>
      <c r="C427" s="37">
        <f>((Ship_NH3Fuel*$B427+Ship_PilotN*Ship_P_VLSFO)-Ship_FixedL)/Ship_BOG</f>
        <v>0.87902447914583</v>
      </c>
      <c r="D427" s="37">
        <f>((Ship_NH3Fuel*$B427+Ship_PilotN*Ship_P_VLSFO)*Ship_ScaleN-Ship_FixedL)/Ship_BOG</f>
        <v>0.385584815694629</v>
      </c>
      <c r="E427" s="37">
        <f>Ship_SW</f>
        <v>1.75609756097561</v>
      </c>
      <c r="F427" s="37" t="e">
        <f>IF(ABS($B427-Ship_P_N)&lt;=5,C427,NA())</f>
        <v>#N/A</v>
      </c>
      <c r="G427" s="37" t="e">
        <f>IF(ABS($B427-Ship_P_N)&lt;=5,D427,NA())</f>
        <v>#N/A</v>
      </c>
      <c r="H427" s="39" t="str">
        <f>IF(MOD(0,10)=0,TEXT($B427,"0"),"")</f>
        <v>200</v>
      </c>
    </row>
    <row r="428" spans="2:13" ht="17" customHeight="1">
      <c r="B428" s="50">
        <v>210</v>
      </c>
      <c r="C428" s="37">
        <f>((Ship_NH3Fuel*$B428+Ship_PilotN*Ship_P_VLSFO)-Ship_FixedL)/Ship_BOG</f>
        <v>0.934482265732307</v>
      </c>
      <c r="D428" s="37">
        <f>((Ship_NH3Fuel*$B428+Ship_PilotN*Ship_P_VLSFO)*Ship_ScaleN-Ship_FixedL)/Ship_BOG</f>
        <v>0.418019752626789</v>
      </c>
      <c r="E428" s="37">
        <f>Ship_SW</f>
        <v>1.75609756097561</v>
      </c>
      <c r="F428" s="37" t="e">
        <f>IF(ABS($B428-Ship_P_N)&lt;=5,C428,NA())</f>
        <v>#N/A</v>
      </c>
      <c r="G428" s="37" t="e">
        <f>IF(ABS($B428-Ship_P_N)&lt;=5,D428,NA())</f>
        <v>#N/A</v>
      </c>
      <c r="H428" s="39">
        <f>IF(MOD(1,10)=0,TEXT($B428,"0"),"")</f>
        <v/>
      </c>
    </row>
    <row r="429" spans="2:13" ht="17" customHeight="1">
      <c r="B429" s="50">
        <v>220</v>
      </c>
      <c r="C429" s="37">
        <f>((Ship_NH3Fuel*$B429+Ship_PilotN*Ship_P_VLSFO)-Ship_FixedL)/Ship_BOG</f>
        <v>0.989940052318784</v>
      </c>
      <c r="D429" s="37">
        <f>((Ship_NH3Fuel*$B429+Ship_PilotN*Ship_P_VLSFO)*Ship_ScaleN-Ship_FixedL)/Ship_BOG</f>
        <v>0.450454689558948</v>
      </c>
      <c r="E429" s="37">
        <f>Ship_SW</f>
        <v>1.75609756097561</v>
      </c>
      <c r="F429" s="37" t="e">
        <f>IF(ABS($B429-Ship_P_N)&lt;=5,C429,NA())</f>
        <v>#N/A</v>
      </c>
      <c r="G429" s="37" t="e">
        <f>IF(ABS($B429-Ship_P_N)&lt;=5,D429,NA())</f>
        <v>#N/A</v>
      </c>
      <c r="H429" s="39">
        <f>IF(MOD(2,10)=0,TEXT($B429,"0"),"")</f>
        <v/>
      </c>
    </row>
    <row r="430" spans="2:13" ht="17" customHeight="1">
      <c r="B430" s="50">
        <v>230</v>
      </c>
      <c r="C430" s="37">
        <f>((Ship_NH3Fuel*$B430+Ship_PilotN*Ship_P_VLSFO)-Ship_FixedL)/Ship_BOG</f>
        <v>1.04539783890526</v>
      </c>
      <c r="D430" s="37">
        <f>((Ship_NH3Fuel*$B430+Ship_PilotN*Ship_P_VLSFO)*Ship_ScaleN-Ship_FixedL)/Ship_BOG</f>
        <v>0.482889626491108</v>
      </c>
      <c r="E430" s="37">
        <f>Ship_SW</f>
        <v>1.75609756097561</v>
      </c>
      <c r="F430" s="37" t="e">
        <f>IF(ABS($B430-Ship_P_N)&lt;=5,C430,NA())</f>
        <v>#N/A</v>
      </c>
      <c r="G430" s="37" t="e">
        <f>IF(ABS($B430-Ship_P_N)&lt;=5,D430,NA())</f>
        <v>#N/A</v>
      </c>
      <c r="H430" s="39">
        <f>IF(MOD(3,10)=0,TEXT($B430,"0"),"")</f>
        <v/>
      </c>
    </row>
    <row r="431" spans="2:13" ht="17" customHeight="1">
      <c r="B431" s="50">
        <v>240</v>
      </c>
      <c r="C431" s="37">
        <f>((Ship_NH3Fuel*$B431+Ship_PilotN*Ship_P_VLSFO)-Ship_FixedL)/Ship_BOG</f>
        <v>1.10085562549174</v>
      </c>
      <c r="D431" s="37">
        <f>((Ship_NH3Fuel*$B431+Ship_PilotN*Ship_P_VLSFO)*Ship_ScaleN-Ship_FixedL)/Ship_BOG</f>
        <v>0.515324563423268</v>
      </c>
      <c r="E431" s="37">
        <f>Ship_SW</f>
        <v>1.75609756097561</v>
      </c>
      <c r="F431" s="37" t="e">
        <f>IF(ABS($B431-Ship_P_N)&lt;=5,C431,NA())</f>
        <v>#N/A</v>
      </c>
      <c r="G431" s="37" t="e">
        <f>IF(ABS($B431-Ship_P_N)&lt;=5,D431,NA())</f>
        <v>#N/A</v>
      </c>
      <c r="H431" s="39">
        <f>IF(MOD(4,10)=0,TEXT($B431,"0"),"")</f>
        <v/>
      </c>
    </row>
    <row r="432" spans="2:13" ht="17" customHeight="1">
      <c r="B432" s="50">
        <v>250</v>
      </c>
      <c r="C432" s="37">
        <f>((Ship_NH3Fuel*$B432+Ship_PilotN*Ship_P_VLSFO)-Ship_FixedL)/Ship_BOG</f>
        <v>1.15631341207822</v>
      </c>
      <c r="D432" s="37">
        <f>((Ship_NH3Fuel*$B432+Ship_PilotN*Ship_P_VLSFO)*Ship_ScaleN-Ship_FixedL)/Ship_BOG</f>
        <v>0.547759500355427</v>
      </c>
      <c r="E432" s="37">
        <f>Ship_SW</f>
        <v>1.75609756097561</v>
      </c>
      <c r="F432" s="37" t="e">
        <f>IF(ABS($B432-Ship_P_N)&lt;=5,C432,NA())</f>
        <v>#N/A</v>
      </c>
      <c r="G432" s="37" t="e">
        <f>IF(ABS($B432-Ship_P_N)&lt;=5,D432,NA())</f>
        <v>#N/A</v>
      </c>
      <c r="H432" s="39">
        <f>IF(MOD(5,10)=0,TEXT($B432,"0"),"")</f>
        <v/>
      </c>
    </row>
    <row r="433" spans="2:8" ht="17" customHeight="1">
      <c r="B433" s="50">
        <v>260</v>
      </c>
      <c r="C433" s="37">
        <f>((Ship_NH3Fuel*$B433+Ship_PilotN*Ship_P_VLSFO)-Ship_FixedL)/Ship_BOG</f>
        <v>1.21177119866469</v>
      </c>
      <c r="D433" s="37">
        <f>((Ship_NH3Fuel*$B433+Ship_PilotN*Ship_P_VLSFO)*Ship_ScaleN-Ship_FixedL)/Ship_BOG</f>
        <v>0.580194437287587</v>
      </c>
      <c r="E433" s="37">
        <f>Ship_SW</f>
        <v>1.75609756097561</v>
      </c>
      <c r="F433" s="37" t="e">
        <f>IF(ABS($B433-Ship_P_N)&lt;=5,C433,NA())</f>
        <v>#N/A</v>
      </c>
      <c r="G433" s="37" t="e">
        <f>IF(ABS($B433-Ship_P_N)&lt;=5,D433,NA())</f>
        <v>#N/A</v>
      </c>
      <c r="H433" s="39">
        <f>IF(MOD(6,10)=0,TEXT($B433,"0"),"")</f>
        <v/>
      </c>
    </row>
    <row r="434" spans="2:8" ht="17" customHeight="1">
      <c r="B434" s="50">
        <v>270</v>
      </c>
      <c r="C434" s="37">
        <f>((Ship_NH3Fuel*$B434+Ship_PilotN*Ship_P_VLSFO)-Ship_FixedL)/Ship_BOG</f>
        <v>1.26722898525117</v>
      </c>
      <c r="D434" s="37">
        <f>((Ship_NH3Fuel*$B434+Ship_PilotN*Ship_P_VLSFO)*Ship_ScaleN-Ship_FixedL)/Ship_BOG</f>
        <v>0.612629374219746</v>
      </c>
      <c r="E434" s="37">
        <f>Ship_SW</f>
        <v>1.75609756097561</v>
      </c>
      <c r="F434" s="37" t="e">
        <f>IF(ABS($B434-Ship_P_N)&lt;=5,C434,NA())</f>
        <v>#N/A</v>
      </c>
      <c r="G434" s="37" t="e">
        <f>IF(ABS($B434-Ship_P_N)&lt;=5,D434,NA())</f>
        <v>#N/A</v>
      </c>
      <c r="H434" s="39">
        <f>IF(MOD(7,10)=0,TEXT($B434,"0"),"")</f>
        <v/>
      </c>
    </row>
    <row r="435" spans="2:8" ht="17" customHeight="1">
      <c r="B435" s="50">
        <v>280</v>
      </c>
      <c r="C435" s="37">
        <f>((Ship_NH3Fuel*$B435+Ship_PilotN*Ship_P_VLSFO)-Ship_FixedL)/Ship_BOG</f>
        <v>1.32268677183765</v>
      </c>
      <c r="D435" s="37">
        <f>((Ship_NH3Fuel*$B435+Ship_PilotN*Ship_P_VLSFO)*Ship_ScaleN-Ship_FixedL)/Ship_BOG</f>
        <v>0.645064311151906</v>
      </c>
      <c r="E435" s="37">
        <f>Ship_SW</f>
        <v>1.75609756097561</v>
      </c>
      <c r="F435" s="37" t="e">
        <f>IF(ABS($B435-Ship_P_N)&lt;=5,C435,NA())</f>
        <v>#N/A</v>
      </c>
      <c r="G435" s="37" t="e">
        <f>IF(ABS($B435-Ship_P_N)&lt;=5,D435,NA())</f>
        <v>#N/A</v>
      </c>
      <c r="H435" s="39">
        <f>IF(MOD(8,10)=0,TEXT($B435,"0"),"")</f>
        <v/>
      </c>
    </row>
    <row r="436" spans="2:8" ht="17" customHeight="1">
      <c r="B436" s="50">
        <v>290</v>
      </c>
      <c r="C436" s="37">
        <f>((Ship_NH3Fuel*$B436+Ship_PilotN*Ship_P_VLSFO)-Ship_FixedL)/Ship_BOG</f>
        <v>1.37814455842412</v>
      </c>
      <c r="D436" s="37">
        <f>((Ship_NH3Fuel*$B436+Ship_PilotN*Ship_P_VLSFO)*Ship_ScaleN-Ship_FixedL)/Ship_BOG</f>
        <v>0.677499248084065</v>
      </c>
      <c r="E436" s="37">
        <f>Ship_SW</f>
        <v>1.75609756097561</v>
      </c>
      <c r="F436" s="37" t="e">
        <f>IF(ABS($B436-Ship_P_N)&lt;=5,C436,NA())</f>
        <v>#N/A</v>
      </c>
      <c r="G436" s="37" t="e">
        <f>IF(ABS($B436-Ship_P_N)&lt;=5,D436,NA())</f>
        <v>#N/A</v>
      </c>
      <c r="H436" s="39">
        <f>IF(MOD(9,10)=0,TEXT($B436,"0"),"")</f>
        <v/>
      </c>
    </row>
    <row r="437" spans="2:8" ht="17" customHeight="1">
      <c r="B437" s="50">
        <v>300</v>
      </c>
      <c r="C437" s="37">
        <f>((Ship_NH3Fuel*$B437+Ship_PilotN*Ship_P_VLSFO)-Ship_FixedL)/Ship_BOG</f>
        <v>1.4336023450106</v>
      </c>
      <c r="D437" s="37">
        <f>((Ship_NH3Fuel*$B437+Ship_PilotN*Ship_P_VLSFO)*Ship_ScaleN-Ship_FixedL)/Ship_BOG</f>
        <v>0.709934185016225</v>
      </c>
      <c r="E437" s="37">
        <f>Ship_SW</f>
        <v>1.75609756097561</v>
      </c>
      <c r="F437" s="37" t="e">
        <f>IF(ABS($B437-Ship_P_N)&lt;=5,C437,NA())</f>
        <v>#N/A</v>
      </c>
      <c r="G437" s="37" t="e">
        <f>IF(ABS($B437-Ship_P_N)&lt;=5,D437,NA())</f>
        <v>#N/A</v>
      </c>
      <c r="H437" s="39" t="str">
        <f>IF(MOD(10,10)=0,TEXT($B437,"0"),"")</f>
        <v>300</v>
      </c>
    </row>
    <row r="438" spans="2:8" ht="17" customHeight="1">
      <c r="B438" s="50">
        <v>310</v>
      </c>
      <c r="C438" s="37">
        <f>((Ship_NH3Fuel*$B438+Ship_PilotN*Ship_P_VLSFO)-Ship_FixedL)/Ship_BOG</f>
        <v>1.48906013159708</v>
      </c>
      <c r="D438" s="37">
        <f>((Ship_NH3Fuel*$B438+Ship_PilotN*Ship_P_VLSFO)*Ship_ScaleN-Ship_FixedL)/Ship_BOG</f>
        <v>0.742369121948385</v>
      </c>
      <c r="E438" s="37">
        <f>Ship_SW</f>
        <v>1.75609756097561</v>
      </c>
      <c r="F438" s="37" t="e">
        <f>IF(ABS($B438-Ship_P_N)&lt;=5,C438,NA())</f>
        <v>#N/A</v>
      </c>
      <c r="G438" s="37" t="e">
        <f>IF(ABS($B438-Ship_P_N)&lt;=5,D438,NA())</f>
        <v>#N/A</v>
      </c>
      <c r="H438" s="39">
        <f>IF(MOD(11,10)=0,TEXT($B438,"0"),"")</f>
        <v/>
      </c>
    </row>
    <row r="439" spans="2:8" ht="17" customHeight="1">
      <c r="B439" s="50">
        <v>320</v>
      </c>
      <c r="C439" s="37">
        <f>((Ship_NH3Fuel*$B439+Ship_PilotN*Ship_P_VLSFO)-Ship_FixedL)/Ship_BOG</f>
        <v>1.54451791818356</v>
      </c>
      <c r="D439" s="37">
        <f>((Ship_NH3Fuel*$B439+Ship_PilotN*Ship_P_VLSFO)*Ship_ScaleN-Ship_FixedL)/Ship_BOG</f>
        <v>0.774804058880544</v>
      </c>
      <c r="E439" s="37">
        <f>Ship_SW</f>
        <v>1.75609756097561</v>
      </c>
      <c r="F439" s="37" t="e">
        <f>IF(ABS($B439-Ship_P_N)&lt;=5,C439,NA())</f>
        <v>#N/A</v>
      </c>
      <c r="G439" s="37" t="e">
        <f>IF(ABS($B439-Ship_P_N)&lt;=5,D439,NA())</f>
        <v>#N/A</v>
      </c>
      <c r="H439" s="39">
        <f>IF(MOD(12,10)=0,TEXT($B439,"0"),"")</f>
        <v/>
      </c>
    </row>
    <row r="440" spans="2:8" ht="17" customHeight="1">
      <c r="B440" s="50">
        <v>330</v>
      </c>
      <c r="C440" s="37">
        <f>((Ship_NH3Fuel*$B440+Ship_PilotN*Ship_P_VLSFO)-Ship_FixedL)/Ship_BOG</f>
        <v>1.59997570477003</v>
      </c>
      <c r="D440" s="37">
        <f>((Ship_NH3Fuel*$B440+Ship_PilotN*Ship_P_VLSFO)*Ship_ScaleN-Ship_FixedL)/Ship_BOG</f>
        <v>0.807238995812704</v>
      </c>
      <c r="E440" s="37">
        <f>Ship_SW</f>
        <v>1.75609756097561</v>
      </c>
      <c r="F440" s="37" t="e">
        <f>IF(ABS($B440-Ship_P_N)&lt;=5,C440,NA())</f>
        <v>#N/A</v>
      </c>
      <c r="G440" s="37" t="e">
        <f>IF(ABS($B440-Ship_P_N)&lt;=5,D440,NA())</f>
        <v>#N/A</v>
      </c>
      <c r="H440" s="39">
        <f>IF(MOD(13,10)=0,TEXT($B440,"0"),"")</f>
        <v/>
      </c>
    </row>
    <row r="441" spans="2:8" ht="17" customHeight="1">
      <c r="B441" s="50">
        <v>340</v>
      </c>
      <c r="C441" s="37">
        <f>((Ship_NH3Fuel*$B441+Ship_PilotN*Ship_P_VLSFO)-Ship_FixedL)/Ship_BOG</f>
        <v>1.65543349135651</v>
      </c>
      <c r="D441" s="37">
        <f>((Ship_NH3Fuel*$B441+Ship_PilotN*Ship_P_VLSFO)*Ship_ScaleN-Ship_FixedL)/Ship_BOG</f>
        <v>0.839673932744863</v>
      </c>
      <c r="E441" s="37">
        <f>Ship_SW</f>
        <v>1.75609756097561</v>
      </c>
      <c r="F441" s="37" t="e">
        <f>IF(ABS($B441-Ship_P_N)&lt;=5,C441,NA())</f>
        <v>#N/A</v>
      </c>
      <c r="G441" s="37" t="e">
        <f>IF(ABS($B441-Ship_P_N)&lt;=5,D441,NA())</f>
        <v>#N/A</v>
      </c>
      <c r="H441" s="39">
        <f>IF(MOD(14,10)=0,TEXT($B441,"0"),"")</f>
        <v/>
      </c>
    </row>
    <row r="442" spans="2:8" ht="17" customHeight="1">
      <c r="B442" s="50">
        <v>350</v>
      </c>
      <c r="C442" s="37">
        <f>((Ship_NH3Fuel*$B442+Ship_PilotN*Ship_P_VLSFO)-Ship_FixedL)/Ship_BOG</f>
        <v>1.71089127794299</v>
      </c>
      <c r="D442" s="37">
        <f>((Ship_NH3Fuel*$B442+Ship_PilotN*Ship_P_VLSFO)*Ship_ScaleN-Ship_FixedL)/Ship_BOG</f>
        <v>0.872108869677023</v>
      </c>
      <c r="E442" s="37">
        <f>Ship_SW</f>
        <v>1.75609756097561</v>
      </c>
      <c r="F442" s="37" t="e">
        <f>IF(ABS($B442-Ship_P_N)&lt;=5,C442,NA())</f>
        <v>#N/A</v>
      </c>
      <c r="G442" s="37" t="e">
        <f>IF(ABS($B442-Ship_P_N)&lt;=5,D442,NA())</f>
        <v>#N/A</v>
      </c>
      <c r="H442" s="39">
        <f>IF(MOD(15,10)=0,TEXT($B442,"0"),"")</f>
        <v/>
      </c>
    </row>
    <row r="443" spans="2:8" ht="17" customHeight="1">
      <c r="B443" s="50">
        <v>360</v>
      </c>
      <c r="C443" s="37">
        <f>((Ship_NH3Fuel*$B443+Ship_PilotN*Ship_P_VLSFO)-Ship_FixedL)/Ship_BOG</f>
        <v>1.76634906452946</v>
      </c>
      <c r="D443" s="37">
        <f>((Ship_NH3Fuel*$B443+Ship_PilotN*Ship_P_VLSFO)*Ship_ScaleN-Ship_FixedL)/Ship_BOG</f>
        <v>0.904543806609183</v>
      </c>
      <c r="E443" s="37">
        <f>Ship_SW</f>
        <v>1.75609756097561</v>
      </c>
      <c r="F443" s="37" t="e">
        <f>IF(ABS($B443-Ship_P_N)&lt;=5,C443,NA())</f>
        <v>#N/A</v>
      </c>
      <c r="G443" s="37" t="e">
        <f>IF(ABS($B443-Ship_P_N)&lt;=5,D443,NA())</f>
        <v>#N/A</v>
      </c>
      <c r="H443" s="39">
        <f>IF(MOD(16,10)=0,TEXT($B443,"0"),"")</f>
        <v/>
      </c>
    </row>
    <row r="444" spans="2:8" ht="17" customHeight="1">
      <c r="B444" s="50">
        <v>370</v>
      </c>
      <c r="C444" s="37">
        <f>((Ship_NH3Fuel*$B444+Ship_PilotN*Ship_P_VLSFO)-Ship_FixedL)/Ship_BOG</f>
        <v>1.82180685111594</v>
      </c>
      <c r="D444" s="37">
        <f>((Ship_NH3Fuel*$B444+Ship_PilotN*Ship_P_VLSFO)*Ship_ScaleN-Ship_FixedL)/Ship_BOG</f>
        <v>0.936978743541342</v>
      </c>
      <c r="E444" s="37">
        <f>Ship_SW</f>
        <v>1.75609756097561</v>
      </c>
      <c r="F444" s="37" t="e">
        <f>IF(ABS($B444-Ship_P_N)&lt;=5,C444,NA())</f>
        <v>#N/A</v>
      </c>
      <c r="G444" s="37" t="e">
        <f>IF(ABS($B444-Ship_P_N)&lt;=5,D444,NA())</f>
        <v>#N/A</v>
      </c>
      <c r="H444" s="39">
        <f>IF(MOD(17,10)=0,TEXT($B444,"0"),"")</f>
        <v/>
      </c>
    </row>
    <row r="445" spans="2:8" ht="17" customHeight="1">
      <c r="B445" s="50">
        <v>380</v>
      </c>
      <c r="C445" s="37">
        <f>((Ship_NH3Fuel*$B445+Ship_PilotN*Ship_P_VLSFO)-Ship_FixedL)/Ship_BOG</f>
        <v>1.87726463770242</v>
      </c>
      <c r="D445" s="37">
        <f>((Ship_NH3Fuel*$B445+Ship_PilotN*Ship_P_VLSFO)*Ship_ScaleN-Ship_FixedL)/Ship_BOG</f>
        <v>0.969413680473502</v>
      </c>
      <c r="E445" s="37">
        <f>Ship_SW</f>
        <v>1.75609756097561</v>
      </c>
      <c r="F445" s="37" t="e">
        <f>IF(ABS($B445-Ship_P_N)&lt;=5,C445,NA())</f>
        <v>#N/A</v>
      </c>
      <c r="G445" s="37" t="e">
        <f>IF(ABS($B445-Ship_P_N)&lt;=5,D445,NA())</f>
        <v>#N/A</v>
      </c>
      <c r="H445" s="39">
        <f>IF(MOD(18,10)=0,TEXT($B445,"0"),"")</f>
        <v/>
      </c>
    </row>
    <row r="446" spans="2:8" ht="17" customHeight="1">
      <c r="B446" s="50">
        <v>390</v>
      </c>
      <c r="C446" s="37">
        <f>((Ship_NH3Fuel*$B446+Ship_PilotN*Ship_P_VLSFO)-Ship_FixedL)/Ship_BOG</f>
        <v>1.9327224242889</v>
      </c>
      <c r="D446" s="37">
        <f>((Ship_NH3Fuel*$B446+Ship_PilotN*Ship_P_VLSFO)*Ship_ScaleN-Ship_FixedL)/Ship_BOG</f>
        <v>1.00184861740566</v>
      </c>
      <c r="E446" s="37">
        <f>Ship_SW</f>
        <v>1.75609756097561</v>
      </c>
      <c r="F446" s="37" t="e">
        <f>IF(ABS($B446-Ship_P_N)&lt;=5,C446,NA())</f>
        <v>#N/A</v>
      </c>
      <c r="G446" s="37" t="e">
        <f>IF(ABS($B446-Ship_P_N)&lt;=5,D446,NA())</f>
        <v>#N/A</v>
      </c>
      <c r="H446" s="39">
        <f>IF(MOD(19,10)=0,TEXT($B446,"0"),"")</f>
        <v/>
      </c>
    </row>
    <row r="447" spans="2:8" ht="17" customHeight="1">
      <c r="B447" s="50">
        <v>400</v>
      </c>
      <c r="C447" s="37">
        <f>((Ship_NH3Fuel*$B447+Ship_PilotN*Ship_P_VLSFO)-Ship_FixedL)/Ship_BOG</f>
        <v>1.98818021087537</v>
      </c>
      <c r="D447" s="37">
        <f>((Ship_NH3Fuel*$B447+Ship_PilotN*Ship_P_VLSFO)*Ship_ScaleN-Ship_FixedL)/Ship_BOG</f>
        <v>1.03428355433782</v>
      </c>
      <c r="E447" s="37">
        <f>Ship_SW</f>
        <v>1.75609756097561</v>
      </c>
      <c r="F447" s="37" t="e">
        <f>IF(ABS($B447-Ship_P_N)&lt;=5,C447,NA())</f>
        <v>#N/A</v>
      </c>
      <c r="G447" s="37" t="e">
        <f>IF(ABS($B447-Ship_P_N)&lt;=5,D447,NA())</f>
        <v>#N/A</v>
      </c>
      <c r="H447" s="39" t="str">
        <f>IF(MOD(20,10)=0,TEXT($B447,"0"),"")</f>
        <v>400</v>
      </c>
    </row>
    <row r="448" spans="2:8" ht="17" customHeight="1">
      <c r="B448" s="50">
        <v>410</v>
      </c>
      <c r="C448" s="37">
        <f>((Ship_NH3Fuel*$B448+Ship_PilotN*Ship_P_VLSFO)-Ship_FixedL)/Ship_BOG</f>
        <v>2.04363799746185</v>
      </c>
      <c r="D448" s="37">
        <f>((Ship_NH3Fuel*$B448+Ship_PilotN*Ship_P_VLSFO)*Ship_ScaleN-Ship_FixedL)/Ship_BOG</f>
        <v>1.06671849126998</v>
      </c>
      <c r="E448" s="37">
        <f>Ship_SW</f>
        <v>1.75609756097561</v>
      </c>
      <c r="F448" s="37" t="e">
        <f>IF(ABS($B448-Ship_P_N)&lt;=5,C448,NA())</f>
        <v>#N/A</v>
      </c>
      <c r="G448" s="37" t="e">
        <f>IF(ABS($B448-Ship_P_N)&lt;=5,D448,NA())</f>
        <v>#N/A</v>
      </c>
      <c r="H448" s="39">
        <f>IF(MOD(21,10)=0,TEXT($B448,"0"),"")</f>
        <v/>
      </c>
    </row>
    <row r="449" spans="2:8" ht="17" customHeight="1">
      <c r="B449" s="50">
        <v>420</v>
      </c>
      <c r="C449" s="37">
        <f>((Ship_NH3Fuel*$B449+Ship_PilotN*Ship_P_VLSFO)-Ship_FixedL)/Ship_BOG</f>
        <v>2.09909578404833</v>
      </c>
      <c r="D449" s="37">
        <f>((Ship_NH3Fuel*$B449+Ship_PilotN*Ship_P_VLSFO)*Ship_ScaleN-Ship_FixedL)/Ship_BOG</f>
        <v>1.09915342820214</v>
      </c>
      <c r="E449" s="37">
        <f>Ship_SW</f>
        <v>1.75609756097561</v>
      </c>
      <c r="F449" s="37" t="e">
        <f>IF(ABS($B449-Ship_P_N)&lt;=5,C449,NA())</f>
        <v>#N/A</v>
      </c>
      <c r="G449" s="37" t="e">
        <f>IF(ABS($B449-Ship_P_N)&lt;=5,D449,NA())</f>
        <v>#N/A</v>
      </c>
      <c r="H449" s="39">
        <f>IF(MOD(22,10)=0,TEXT($B449,"0"),"")</f>
        <v/>
      </c>
    </row>
    <row r="450" spans="2:8" ht="17" customHeight="1">
      <c r="B450" s="50">
        <v>430</v>
      </c>
      <c r="C450" s="37">
        <f>((Ship_NH3Fuel*$B450+Ship_PilotN*Ship_P_VLSFO)-Ship_FixedL)/Ship_BOG</f>
        <v>2.1545535706348</v>
      </c>
      <c r="D450" s="37">
        <f>((Ship_NH3Fuel*$B450+Ship_PilotN*Ship_P_VLSFO)*Ship_ScaleN-Ship_FixedL)/Ship_BOG</f>
        <v>1.1315883651343</v>
      </c>
      <c r="E450" s="37">
        <f>Ship_SW</f>
        <v>1.75609756097561</v>
      </c>
      <c r="F450" s="37" t="e">
        <f>IF(ABS($B450-Ship_P_N)&lt;=5,C450,NA())</f>
        <v>#N/A</v>
      </c>
      <c r="G450" s="37" t="e">
        <f>IF(ABS($B450-Ship_P_N)&lt;=5,D450,NA())</f>
        <v>#N/A</v>
      </c>
      <c r="H450" s="39">
        <f>IF(MOD(23,10)=0,TEXT($B450,"0"),"")</f>
        <v/>
      </c>
    </row>
    <row r="451" spans="2:8" ht="17" customHeight="1">
      <c r="B451" s="50">
        <v>440</v>
      </c>
      <c r="C451" s="37">
        <f>((Ship_NH3Fuel*$B451+Ship_PilotN*Ship_P_VLSFO)-Ship_FixedL)/Ship_BOG</f>
        <v>2.21001135722128</v>
      </c>
      <c r="D451" s="37">
        <f>((Ship_NH3Fuel*$B451+Ship_PilotN*Ship_P_VLSFO)*Ship_ScaleN-Ship_FixedL)/Ship_BOG</f>
        <v>1.16402330206646</v>
      </c>
      <c r="E451" s="37">
        <f>Ship_SW</f>
        <v>1.75609756097561</v>
      </c>
      <c r="F451" s="37" t="e">
        <f>IF(ABS($B451-Ship_P_N)&lt;=5,C451,NA())</f>
        <v>#N/A</v>
      </c>
      <c r="G451" s="37" t="e">
        <f>IF(ABS($B451-Ship_P_N)&lt;=5,D451,NA())</f>
        <v>#N/A</v>
      </c>
      <c r="H451" s="39">
        <f>IF(MOD(24,10)=0,TEXT($B451,"0"),"")</f>
        <v/>
      </c>
    </row>
    <row r="452" spans="2:8" ht="17" customHeight="1">
      <c r="B452" s="50">
        <v>450</v>
      </c>
      <c r="C452" s="37">
        <f>((Ship_NH3Fuel*$B452+Ship_PilotN*Ship_P_VLSFO)-Ship_FixedL)/Ship_BOG</f>
        <v>2.26546914380776</v>
      </c>
      <c r="D452" s="37">
        <f>((Ship_NH3Fuel*$B452+Ship_PilotN*Ship_P_VLSFO)*Ship_ScaleN-Ship_FixedL)/Ship_BOG</f>
        <v>1.19645823899862</v>
      </c>
      <c r="E452" s="37">
        <f>Ship_SW</f>
        <v>1.75609756097561</v>
      </c>
      <c r="F452" s="37" t="e">
        <f>IF(ABS($B452-Ship_P_N)&lt;=5,C452,NA())</f>
        <v>#N/A</v>
      </c>
      <c r="G452" s="37" t="e">
        <f>IF(ABS($B452-Ship_P_N)&lt;=5,D452,NA())</f>
        <v>#N/A</v>
      </c>
      <c r="H452" s="39">
        <f>IF(MOD(25,10)=0,TEXT($B452,"0"),"")</f>
        <v/>
      </c>
    </row>
    <row r="453" spans="2:8" ht="17" customHeight="1">
      <c r="B453" s="50">
        <v>460</v>
      </c>
      <c r="C453" s="37">
        <f>((Ship_NH3Fuel*$B453+Ship_PilotN*Ship_P_VLSFO)-Ship_FixedL)/Ship_BOG</f>
        <v>2.32092693039424</v>
      </c>
      <c r="D453" s="37">
        <f>((Ship_NH3Fuel*$B453+Ship_PilotN*Ship_P_VLSFO)*Ship_ScaleN-Ship_FixedL)/Ship_BOG</f>
        <v>1.22889317593078</v>
      </c>
      <c r="E453" s="37">
        <f>Ship_SW</f>
        <v>1.75609756097561</v>
      </c>
      <c r="F453" s="37" t="e">
        <f>IF(ABS($B453-Ship_P_N)&lt;=5,C453,NA())</f>
        <v>#N/A</v>
      </c>
      <c r="G453" s="37" t="e">
        <f>IF(ABS($B453-Ship_P_N)&lt;=5,D453,NA())</f>
        <v>#N/A</v>
      </c>
      <c r="H453" s="39">
        <f>IF(MOD(26,10)=0,TEXT($B453,"0"),"")</f>
        <v/>
      </c>
    </row>
    <row r="454" spans="2:8" ht="17" customHeight="1">
      <c r="B454" s="50">
        <v>470</v>
      </c>
      <c r="C454" s="37">
        <f>((Ship_NH3Fuel*$B454+Ship_PilotN*Ship_P_VLSFO)-Ship_FixedL)/Ship_BOG</f>
        <v>2.37638471698071</v>
      </c>
      <c r="D454" s="37">
        <f>((Ship_NH3Fuel*$B454+Ship_PilotN*Ship_P_VLSFO)*Ship_ScaleN-Ship_FixedL)/Ship_BOG</f>
        <v>1.26132811286294</v>
      </c>
      <c r="E454" s="37">
        <f>Ship_SW</f>
        <v>1.75609756097561</v>
      </c>
      <c r="F454" s="37" t="e">
        <f>IF(ABS($B454-Ship_P_N)&lt;=5,C454,NA())</f>
        <v>#N/A</v>
      </c>
      <c r="G454" s="37" t="e">
        <f>IF(ABS($B454-Ship_P_N)&lt;=5,D454,NA())</f>
        <v>#N/A</v>
      </c>
      <c r="H454" s="39">
        <f>IF(MOD(27,10)=0,TEXT($B454,"0"),"")</f>
        <v/>
      </c>
    </row>
    <row r="455" spans="2:8" ht="17" customHeight="1">
      <c r="B455" s="50">
        <v>480</v>
      </c>
      <c r="C455" s="37">
        <f>((Ship_NH3Fuel*$B455+Ship_PilotN*Ship_P_VLSFO)-Ship_FixedL)/Ship_BOG</f>
        <v>2.43184250356719</v>
      </c>
      <c r="D455" s="37">
        <f>((Ship_NH3Fuel*$B455+Ship_PilotN*Ship_P_VLSFO)*Ship_ScaleN-Ship_FixedL)/Ship_BOG</f>
        <v>1.2937630497951</v>
      </c>
      <c r="E455" s="37">
        <f>Ship_SW</f>
        <v>1.75609756097561</v>
      </c>
      <c r="F455" s="37" t="e">
        <f>IF(ABS($B455-Ship_P_N)&lt;=5,C455,NA())</f>
        <v>#N/A</v>
      </c>
      <c r="G455" s="37" t="e">
        <f>IF(ABS($B455-Ship_P_N)&lt;=5,D455,NA())</f>
        <v>#N/A</v>
      </c>
      <c r="H455" s="39">
        <f>IF(MOD(28,10)=0,TEXT($B455,"0"),"")</f>
        <v/>
      </c>
    </row>
    <row r="456" spans="2:8" ht="17" customHeight="1">
      <c r="B456" s="50">
        <v>490</v>
      </c>
      <c r="C456" s="37">
        <f>((Ship_NH3Fuel*$B456+Ship_PilotN*Ship_P_VLSFO)-Ship_FixedL)/Ship_BOG</f>
        <v>2.48730029015367</v>
      </c>
      <c r="D456" s="37">
        <f>((Ship_NH3Fuel*$B456+Ship_PilotN*Ship_P_VLSFO)*Ship_ScaleN-Ship_FixedL)/Ship_BOG</f>
        <v>1.32619798672726</v>
      </c>
      <c r="E456" s="37">
        <f>Ship_SW</f>
        <v>1.75609756097561</v>
      </c>
      <c r="F456" s="37" t="e">
        <f>IF(ABS($B456-Ship_P_N)&lt;=5,C456,NA())</f>
        <v>#N/A</v>
      </c>
      <c r="G456" s="37" t="e">
        <f>IF(ABS($B456-Ship_P_N)&lt;=5,D456,NA())</f>
        <v>#N/A</v>
      </c>
      <c r="H456" s="39">
        <f>IF(MOD(29,10)=0,TEXT($B456,"0"),"")</f>
        <v/>
      </c>
    </row>
    <row r="457" spans="2:8" ht="17" customHeight="1">
      <c r="B457" s="50">
        <v>500</v>
      </c>
      <c r="C457" s="37">
        <f>((Ship_NH3Fuel*$B457+Ship_PilotN*Ship_P_VLSFO)-Ship_FixedL)/Ship_BOG</f>
        <v>2.54275807674014</v>
      </c>
      <c r="D457" s="37">
        <f>((Ship_NH3Fuel*$B457+Ship_PilotN*Ship_P_VLSFO)*Ship_ScaleN-Ship_FixedL)/Ship_BOG</f>
        <v>1.35863292365942</v>
      </c>
      <c r="E457" s="37">
        <f>Ship_SW</f>
        <v>1.75609756097561</v>
      </c>
      <c r="F457" s="37" t="e">
        <f>IF(ABS($B457-Ship_P_N)&lt;=5,C457,NA())</f>
        <v>#N/A</v>
      </c>
      <c r="G457" s="37" t="e">
        <f>IF(ABS($B457-Ship_P_N)&lt;=5,D457,NA())</f>
        <v>#N/A</v>
      </c>
      <c r="H457" s="39" t="str">
        <f>IF(MOD(30,10)=0,TEXT($B457,"0"),"")</f>
        <v>500</v>
      </c>
    </row>
    <row r="458" spans="2:8" ht="17" customHeight="1">
      <c r="B458" s="50">
        <v>510</v>
      </c>
      <c r="C458" s="37">
        <f>((Ship_NH3Fuel*$B458+Ship_PilotN*Ship_P_VLSFO)-Ship_FixedL)/Ship_BOG</f>
        <v>2.59821586332662</v>
      </c>
      <c r="D458" s="37">
        <f>((Ship_NH3Fuel*$B458+Ship_PilotN*Ship_P_VLSFO)*Ship_ScaleN-Ship_FixedL)/Ship_BOG</f>
        <v>1.39106786059158</v>
      </c>
      <c r="E458" s="37">
        <f>Ship_SW</f>
        <v>1.75609756097561</v>
      </c>
      <c r="F458" s="37" t="e">
        <f>IF(ABS($B458-Ship_P_N)&lt;=5,C458,NA())</f>
        <v>#N/A</v>
      </c>
      <c r="G458" s="37" t="e">
        <f>IF(ABS($B458-Ship_P_N)&lt;=5,D458,NA())</f>
        <v>#N/A</v>
      </c>
      <c r="H458" s="39">
        <f>IF(MOD(31,10)=0,TEXT($B458,"0"),"")</f>
        <v/>
      </c>
    </row>
    <row r="459" spans="2:8" ht="17" customHeight="1">
      <c r="B459" s="50">
        <v>520</v>
      </c>
      <c r="C459" s="37">
        <f>((Ship_NH3Fuel*$B459+Ship_PilotN*Ship_P_VLSFO)-Ship_FixedL)/Ship_BOG</f>
        <v>2.6536736499131</v>
      </c>
      <c r="D459" s="37">
        <f>((Ship_NH3Fuel*$B459+Ship_PilotN*Ship_P_VLSFO)*Ship_ScaleN-Ship_FixedL)/Ship_BOG</f>
        <v>1.42350279752374</v>
      </c>
      <c r="E459" s="37">
        <f>Ship_SW</f>
        <v>1.75609756097561</v>
      </c>
      <c r="F459" s="37" t="e">
        <f>IF(ABS($B459-Ship_P_N)&lt;=5,C459,NA())</f>
        <v>#N/A</v>
      </c>
      <c r="G459" s="37" t="e">
        <f>IF(ABS($B459-Ship_P_N)&lt;=5,D459,NA())</f>
        <v>#N/A</v>
      </c>
      <c r="H459" s="39">
        <f>IF(MOD(32,10)=0,TEXT($B459,"0"),"")</f>
        <v/>
      </c>
    </row>
    <row r="460" spans="2:8" ht="17" customHeight="1">
      <c r="B460" s="50">
        <v>530</v>
      </c>
      <c r="C460" s="37">
        <f>((Ship_NH3Fuel*$B460+Ship_PilotN*Ship_P_VLSFO)-Ship_FixedL)/Ship_BOG</f>
        <v>2.70913143649958</v>
      </c>
      <c r="D460" s="37">
        <f>((Ship_NH3Fuel*$B460+Ship_PilotN*Ship_P_VLSFO)*Ship_ScaleN-Ship_FixedL)/Ship_BOG</f>
        <v>1.4559377344559</v>
      </c>
      <c r="E460" s="37">
        <f>Ship_SW</f>
        <v>1.75609756097561</v>
      </c>
      <c r="F460" s="37" t="e">
        <f>IF(ABS($B460-Ship_P_N)&lt;=5,C460,NA())</f>
        <v>#N/A</v>
      </c>
      <c r="G460" s="37" t="e">
        <f>IF(ABS($B460-Ship_P_N)&lt;=5,D460,NA())</f>
        <v>#N/A</v>
      </c>
      <c r="H460" s="39">
        <f>IF(MOD(33,10)=0,TEXT($B460,"0"),"")</f>
        <v/>
      </c>
    </row>
    <row r="461" spans="2:8" ht="17" customHeight="1">
      <c r="B461" s="50">
        <v>540</v>
      </c>
      <c r="C461" s="37">
        <f>((Ship_NH3Fuel*$B461+Ship_PilotN*Ship_P_VLSFO)-Ship_FixedL)/Ship_BOG</f>
        <v>2.76458922308605</v>
      </c>
      <c r="D461" s="37">
        <f>((Ship_NH3Fuel*$B461+Ship_PilotN*Ship_P_VLSFO)*Ship_ScaleN-Ship_FixedL)/Ship_BOG</f>
        <v>1.48837267138806</v>
      </c>
      <c r="E461" s="37">
        <f>Ship_SW</f>
        <v>1.75609756097561</v>
      </c>
      <c r="F461" s="37" t="e">
        <f>IF(ABS($B461-Ship_P_N)&lt;=5,C461,NA())</f>
        <v>#N/A</v>
      </c>
      <c r="G461" s="37" t="e">
        <f>IF(ABS($B461-Ship_P_N)&lt;=5,D461,NA())</f>
        <v>#N/A</v>
      </c>
      <c r="H461" s="39">
        <f>IF(MOD(34,10)=0,TEXT($B461,"0"),"")</f>
        <v/>
      </c>
    </row>
    <row r="462" spans="2:8" ht="17" customHeight="1">
      <c r="B462" s="50">
        <v>550</v>
      </c>
      <c r="C462" s="37">
        <f>((Ship_NH3Fuel*$B462+Ship_PilotN*Ship_P_VLSFO)-Ship_FixedL)/Ship_BOG</f>
        <v>2.82004700967253</v>
      </c>
      <c r="D462" s="37">
        <f>((Ship_NH3Fuel*$B462+Ship_PilotN*Ship_P_VLSFO)*Ship_ScaleN-Ship_FixedL)/Ship_BOG</f>
        <v>1.52080760832022</v>
      </c>
      <c r="E462" s="37">
        <f>Ship_SW</f>
        <v>1.75609756097561</v>
      </c>
      <c r="F462" s="37" t="e">
        <f>IF(ABS($B462-Ship_P_N)&lt;=5,C462,NA())</f>
        <v>#N/A</v>
      </c>
      <c r="G462" s="37" t="e">
        <f>IF(ABS($B462-Ship_P_N)&lt;=5,D462,NA())</f>
        <v>#N/A</v>
      </c>
      <c r="H462" s="39">
        <f>IF(MOD(35,10)=0,TEXT($B462,"0"),"")</f>
        <v/>
      </c>
    </row>
    <row r="463" spans="2:8" ht="17" customHeight="1">
      <c r="B463" s="50">
        <v>560</v>
      </c>
      <c r="C463" s="37">
        <f>((Ship_NH3Fuel*$B463+Ship_PilotN*Ship_P_VLSFO)-Ship_FixedL)/Ship_BOG</f>
        <v>2.87550479625901</v>
      </c>
      <c r="D463" s="37">
        <f>((Ship_NH3Fuel*$B463+Ship_PilotN*Ship_P_VLSFO)*Ship_ScaleN-Ship_FixedL)/Ship_BOG</f>
        <v>1.55324254525237</v>
      </c>
      <c r="E463" s="37">
        <f>Ship_SW</f>
        <v>1.75609756097561</v>
      </c>
      <c r="F463" s="37" t="e">
        <f>IF(ABS($B463-Ship_P_N)&lt;=5,C463,NA())</f>
        <v>#N/A</v>
      </c>
      <c r="G463" s="37" t="e">
        <f>IF(ABS($B463-Ship_P_N)&lt;=5,D463,NA())</f>
        <v>#N/A</v>
      </c>
      <c r="H463" s="39">
        <f>IF(MOD(36,10)=0,TEXT($B463,"0"),"")</f>
        <v/>
      </c>
    </row>
    <row r="464" spans="2:8" ht="17" customHeight="1">
      <c r="B464" s="50">
        <v>570</v>
      </c>
      <c r="C464" s="37">
        <f>((Ship_NH3Fuel*$B464+Ship_PilotN*Ship_P_VLSFO)-Ship_FixedL)/Ship_BOG</f>
        <v>2.93096258284548</v>
      </c>
      <c r="D464" s="37">
        <f>((Ship_NH3Fuel*$B464+Ship_PilotN*Ship_P_VLSFO)*Ship_ScaleN-Ship_FixedL)/Ship_BOG</f>
        <v>1.58567748218453</v>
      </c>
      <c r="E464" s="37">
        <f>Ship_SW</f>
        <v>1.75609756097561</v>
      </c>
      <c r="F464" s="37" t="e">
        <f>IF(ABS($B464-Ship_P_N)&lt;=5,C464,NA())</f>
        <v>#N/A</v>
      </c>
      <c r="G464" s="37" t="e">
        <f>IF(ABS($B464-Ship_P_N)&lt;=5,D464,NA())</f>
        <v>#N/A</v>
      </c>
      <c r="H464" s="39">
        <f>IF(MOD(37,10)=0,TEXT($B464,"0"),"")</f>
        <v/>
      </c>
    </row>
    <row r="465" spans="2:8" ht="17" customHeight="1">
      <c r="B465" s="50">
        <v>580</v>
      </c>
      <c r="C465" s="37">
        <f>((Ship_NH3Fuel*$B465+Ship_PilotN*Ship_P_VLSFO)-Ship_FixedL)/Ship_BOG</f>
        <v>2.98642036943196</v>
      </c>
      <c r="D465" s="37">
        <f>((Ship_NH3Fuel*$B465+Ship_PilotN*Ship_P_VLSFO)*Ship_ScaleN-Ship_FixedL)/Ship_BOG</f>
        <v>1.61811241911669</v>
      </c>
      <c r="E465" s="37">
        <f>Ship_SW</f>
        <v>1.75609756097561</v>
      </c>
      <c r="F465" s="37" t="e">
        <f>IF(ABS($B465-Ship_P_N)&lt;=5,C465,NA())</f>
        <v>#N/A</v>
      </c>
      <c r="G465" s="37" t="e">
        <f>IF(ABS($B465-Ship_P_N)&lt;=5,D465,NA())</f>
        <v>#N/A</v>
      </c>
      <c r="H465" s="39">
        <f>IF(MOD(38,10)=0,TEXT($B465,"0"),"")</f>
        <v/>
      </c>
    </row>
    <row r="466" spans="2:8" ht="17" customHeight="1">
      <c r="B466" s="50">
        <v>590</v>
      </c>
      <c r="C466" s="37">
        <f>((Ship_NH3Fuel*$B466+Ship_PilotN*Ship_P_VLSFO)-Ship_FixedL)/Ship_BOG</f>
        <v>3.04187815601844</v>
      </c>
      <c r="D466" s="37">
        <f>((Ship_NH3Fuel*$B466+Ship_PilotN*Ship_P_VLSFO)*Ship_ScaleN-Ship_FixedL)/Ship_BOG</f>
        <v>1.65054735604885</v>
      </c>
      <c r="E466" s="37">
        <f>Ship_SW</f>
        <v>1.75609756097561</v>
      </c>
      <c r="F466" s="37" t="e">
        <f>IF(ABS($B466-Ship_P_N)&lt;=5,C466,NA())</f>
        <v>#N/A</v>
      </c>
      <c r="G466" s="37" t="e">
        <f>IF(ABS($B466-Ship_P_N)&lt;=5,D466,NA())</f>
        <v>#N/A</v>
      </c>
      <c r="H466" s="39">
        <f>IF(MOD(39,10)=0,TEXT($B466,"0"),"")</f>
        <v/>
      </c>
    </row>
    <row r="467" spans="2:8" ht="17" customHeight="1">
      <c r="B467" s="50">
        <v>600</v>
      </c>
      <c r="C467" s="37">
        <f>((Ship_NH3Fuel*$B467+Ship_PilotN*Ship_P_VLSFO)-Ship_FixedL)/Ship_BOG</f>
        <v>3.09733594260491</v>
      </c>
      <c r="D467" s="37">
        <f>((Ship_NH3Fuel*$B467+Ship_PilotN*Ship_P_VLSFO)*Ship_ScaleN-Ship_FixedL)/Ship_BOG</f>
        <v>1.68298229298101</v>
      </c>
      <c r="E467" s="37">
        <f>Ship_SW</f>
        <v>1.75609756097561</v>
      </c>
      <c r="F467" s="37">
        <f>IF(ABS($B467-Ship_P_N)&lt;=5,C467,NA())</f>
        <v>3.09733594260491</v>
      </c>
      <c r="G467" s="37">
        <f>IF(ABS($B467-Ship_P_N)&lt;=5,D467,NA())</f>
        <v>1.68298229298101</v>
      </c>
      <c r="H467" s="39" t="str">
        <f>IF(MOD(40,10)=0,TEXT($B467,"0"),"")</f>
        <v>600</v>
      </c>
    </row>
    <row r="468" spans="2:8" ht="17" customHeight="1">
      <c r="B468" s="50">
        <v>610</v>
      </c>
      <c r="C468" s="37">
        <f>((Ship_NH3Fuel*$B468+Ship_PilotN*Ship_P_VLSFO)-Ship_FixedL)/Ship_BOG</f>
        <v>3.15279372919139</v>
      </c>
      <c r="D468" s="37">
        <f>((Ship_NH3Fuel*$B468+Ship_PilotN*Ship_P_VLSFO)*Ship_ScaleN-Ship_FixedL)/Ship_BOG</f>
        <v>1.71541722991317</v>
      </c>
      <c r="E468" s="37">
        <f>Ship_SW</f>
        <v>1.75609756097561</v>
      </c>
      <c r="F468" s="37" t="e">
        <f>IF(ABS($B468-Ship_P_N)&lt;=5,C468,NA())</f>
        <v>#N/A</v>
      </c>
      <c r="G468" s="37" t="e">
        <f>IF(ABS($B468-Ship_P_N)&lt;=5,D468,NA())</f>
        <v>#N/A</v>
      </c>
      <c r="H468" s="39">
        <f>IF(MOD(41,10)=0,TEXT($B468,"0"),"")</f>
        <v/>
      </c>
    </row>
    <row r="469" spans="2:8" ht="17" customHeight="1">
      <c r="B469" s="50">
        <v>620</v>
      </c>
      <c r="C469" s="37">
        <f>((Ship_NH3Fuel*$B469+Ship_PilotN*Ship_P_VLSFO)-Ship_FixedL)/Ship_BOG</f>
        <v>3.20825151577787</v>
      </c>
      <c r="D469" s="37">
        <f>((Ship_NH3Fuel*$B469+Ship_PilotN*Ship_P_VLSFO)*Ship_ScaleN-Ship_FixedL)/Ship_BOG</f>
        <v>1.74785216684533</v>
      </c>
      <c r="E469" s="37">
        <f>Ship_SW</f>
        <v>1.75609756097561</v>
      </c>
      <c r="F469" s="37" t="e">
        <f>IF(ABS($B469-Ship_P_N)&lt;=5,C469,NA())</f>
        <v>#N/A</v>
      </c>
      <c r="G469" s="37" t="e">
        <f>IF(ABS($B469-Ship_P_N)&lt;=5,D469,NA())</f>
        <v>#N/A</v>
      </c>
      <c r="H469" s="39">
        <f>IF(MOD(42,10)=0,TEXT($B469,"0"),"")</f>
        <v/>
      </c>
    </row>
    <row r="470" spans="2:8" ht="17" customHeight="1">
      <c r="B470" s="50">
        <v>630</v>
      </c>
      <c r="C470" s="37">
        <f>((Ship_NH3Fuel*$B470+Ship_PilotN*Ship_P_VLSFO)-Ship_FixedL)/Ship_BOG</f>
        <v>3.26370930236435</v>
      </c>
      <c r="D470" s="37">
        <f>((Ship_NH3Fuel*$B470+Ship_PilotN*Ship_P_VLSFO)*Ship_ScaleN-Ship_FixedL)/Ship_BOG</f>
        <v>1.78028710377749</v>
      </c>
      <c r="E470" s="37">
        <f>Ship_SW</f>
        <v>1.75609756097561</v>
      </c>
      <c r="F470" s="37" t="e">
        <f>IF(ABS($B470-Ship_P_N)&lt;=5,C470,NA())</f>
        <v>#N/A</v>
      </c>
      <c r="G470" s="37" t="e">
        <f>IF(ABS($B470-Ship_P_N)&lt;=5,D470,NA())</f>
        <v>#N/A</v>
      </c>
      <c r="H470" s="39">
        <f>IF(MOD(43,10)=0,TEXT($B470,"0"),"")</f>
        <v/>
      </c>
    </row>
    <row r="471" spans="2:8" ht="17" customHeight="1">
      <c r="B471" s="50">
        <v>640</v>
      </c>
      <c r="C471" s="37">
        <f>((Ship_NH3Fuel*$B471+Ship_PilotN*Ship_P_VLSFO)-Ship_FixedL)/Ship_BOG</f>
        <v>3.31916708895082</v>
      </c>
      <c r="D471" s="37">
        <f>((Ship_NH3Fuel*$B471+Ship_PilotN*Ship_P_VLSFO)*Ship_ScaleN-Ship_FixedL)/Ship_BOG</f>
        <v>1.81272204070965</v>
      </c>
      <c r="E471" s="37">
        <f>Ship_SW</f>
        <v>1.75609756097561</v>
      </c>
      <c r="F471" s="37" t="e">
        <f>IF(ABS($B471-Ship_P_N)&lt;=5,C471,NA())</f>
        <v>#N/A</v>
      </c>
      <c r="G471" s="37" t="e">
        <f>IF(ABS($B471-Ship_P_N)&lt;=5,D471,NA())</f>
        <v>#N/A</v>
      </c>
      <c r="H471" s="39">
        <f>IF(MOD(44,10)=0,TEXT($B471,"0"),"")</f>
        <v/>
      </c>
    </row>
    <row r="472" spans="2:8" ht="17" customHeight="1">
      <c r="B472" s="50">
        <v>650</v>
      </c>
      <c r="C472" s="37">
        <f>((Ship_NH3Fuel*$B472+Ship_PilotN*Ship_P_VLSFO)-Ship_FixedL)/Ship_BOG</f>
        <v>3.3746248755373</v>
      </c>
      <c r="D472" s="37">
        <f>((Ship_NH3Fuel*$B472+Ship_PilotN*Ship_P_VLSFO)*Ship_ScaleN-Ship_FixedL)/Ship_BOG</f>
        <v>1.84515697764181</v>
      </c>
      <c r="E472" s="37">
        <f>Ship_SW</f>
        <v>1.75609756097561</v>
      </c>
      <c r="F472" s="37" t="e">
        <f>IF(ABS($B472-Ship_P_N)&lt;=5,C472,NA())</f>
        <v>#N/A</v>
      </c>
      <c r="G472" s="37" t="e">
        <f>IF(ABS($B472-Ship_P_N)&lt;=5,D472,NA())</f>
        <v>#N/A</v>
      </c>
      <c r="H472" s="39">
        <f>IF(MOD(45,10)=0,TEXT($B472,"0"),"")</f>
        <v/>
      </c>
    </row>
    <row r="473" spans="2:8" ht="17" customHeight="1">
      <c r="B473" s="50">
        <v>660</v>
      </c>
      <c r="C473" s="37">
        <f>((Ship_NH3Fuel*$B473+Ship_PilotN*Ship_P_VLSFO)-Ship_FixedL)/Ship_BOG</f>
        <v>3.43008266212378</v>
      </c>
      <c r="D473" s="37">
        <f>((Ship_NH3Fuel*$B473+Ship_PilotN*Ship_P_VLSFO)*Ship_ScaleN-Ship_FixedL)/Ship_BOG</f>
        <v>1.87759191457397</v>
      </c>
      <c r="E473" s="37">
        <f>Ship_SW</f>
        <v>1.75609756097561</v>
      </c>
      <c r="F473" s="37" t="e">
        <f>IF(ABS($B473-Ship_P_N)&lt;=5,C473,NA())</f>
        <v>#N/A</v>
      </c>
      <c r="G473" s="37" t="e">
        <f>IF(ABS($B473-Ship_P_N)&lt;=5,D473,NA())</f>
        <v>#N/A</v>
      </c>
      <c r="H473" s="39">
        <f>IF(MOD(46,10)=0,TEXT($B473,"0"),"")</f>
        <v/>
      </c>
    </row>
    <row r="474" spans="2:8" ht="17" customHeight="1">
      <c r="B474" s="50">
        <v>670</v>
      </c>
      <c r="C474" s="37">
        <f>((Ship_NH3Fuel*$B474+Ship_PilotN*Ship_P_VLSFO)-Ship_FixedL)/Ship_BOG</f>
        <v>3.48554044871025</v>
      </c>
      <c r="D474" s="37">
        <f>((Ship_NH3Fuel*$B474+Ship_PilotN*Ship_P_VLSFO)*Ship_ScaleN-Ship_FixedL)/Ship_BOG</f>
        <v>1.91002685150613</v>
      </c>
      <c r="E474" s="37">
        <f>Ship_SW</f>
        <v>1.75609756097561</v>
      </c>
      <c r="F474" s="37" t="e">
        <f>IF(ABS($B474-Ship_P_N)&lt;=5,C474,NA())</f>
        <v>#N/A</v>
      </c>
      <c r="G474" s="37" t="e">
        <f>IF(ABS($B474-Ship_P_N)&lt;=5,D474,NA())</f>
        <v>#N/A</v>
      </c>
      <c r="H474" s="39">
        <f>IF(MOD(47,10)=0,TEXT($B474,"0"),"")</f>
        <v/>
      </c>
    </row>
    <row r="475" spans="2:8" ht="17" customHeight="1">
      <c r="B475" s="50">
        <v>680</v>
      </c>
      <c r="C475" s="37">
        <f>((Ship_NH3Fuel*$B475+Ship_PilotN*Ship_P_VLSFO)-Ship_FixedL)/Ship_BOG</f>
        <v>3.54099823529673</v>
      </c>
      <c r="D475" s="37">
        <f>((Ship_NH3Fuel*$B475+Ship_PilotN*Ship_P_VLSFO)*Ship_ScaleN-Ship_FixedL)/Ship_BOG</f>
        <v>1.94246178843829</v>
      </c>
      <c r="E475" s="37">
        <f>Ship_SW</f>
        <v>1.75609756097561</v>
      </c>
      <c r="F475" s="37" t="e">
        <f>IF(ABS($B475-Ship_P_N)&lt;=5,C475,NA())</f>
        <v>#N/A</v>
      </c>
      <c r="G475" s="37" t="e">
        <f>IF(ABS($B475-Ship_P_N)&lt;=5,D475,NA())</f>
        <v>#N/A</v>
      </c>
      <c r="H475" s="39">
        <f>IF(MOD(48,10)=0,TEXT($B475,"0"),"")</f>
        <v/>
      </c>
    </row>
    <row r="476" spans="2:8" ht="17" customHeight="1">
      <c r="B476" s="50">
        <v>690</v>
      </c>
      <c r="C476" s="37">
        <f>((Ship_NH3Fuel*$B476+Ship_PilotN*Ship_P_VLSFO)-Ship_FixedL)/Ship_BOG</f>
        <v>3.59645602188321</v>
      </c>
      <c r="D476" s="37">
        <f>((Ship_NH3Fuel*$B476+Ship_PilotN*Ship_P_VLSFO)*Ship_ScaleN-Ship_FixedL)/Ship_BOG</f>
        <v>1.97489672537045</v>
      </c>
      <c r="E476" s="37">
        <f>Ship_SW</f>
        <v>1.75609756097561</v>
      </c>
      <c r="F476" s="37" t="e">
        <f>IF(ABS($B476-Ship_P_N)&lt;=5,C476,NA())</f>
        <v>#N/A</v>
      </c>
      <c r="G476" s="37" t="e">
        <f>IF(ABS($B476-Ship_P_N)&lt;=5,D476,NA())</f>
        <v>#N/A</v>
      </c>
      <c r="H476" s="39">
        <f>IF(MOD(49,10)=0,TEXT($B476,"0"),"")</f>
        <v/>
      </c>
    </row>
    <row r="477" spans="2:8" ht="17" customHeight="1">
      <c r="B477" s="50">
        <v>700</v>
      </c>
      <c r="C477" s="37">
        <f>((Ship_NH3Fuel*$B477+Ship_PilotN*Ship_P_VLSFO)-Ship_FixedL)/Ship_BOG</f>
        <v>3.65191380846969</v>
      </c>
      <c r="D477" s="37">
        <f>((Ship_NH3Fuel*$B477+Ship_PilotN*Ship_P_VLSFO)*Ship_ScaleN-Ship_FixedL)/Ship_BOG</f>
        <v>2.00733166230261</v>
      </c>
      <c r="E477" s="37">
        <f>Ship_SW</f>
        <v>1.75609756097561</v>
      </c>
      <c r="F477" s="37" t="e">
        <f>IF(ABS($B477-Ship_P_N)&lt;=5,C477,NA())</f>
        <v>#N/A</v>
      </c>
      <c r="G477" s="37" t="e">
        <f>IF(ABS($B477-Ship_P_N)&lt;=5,D477,NA())</f>
        <v>#N/A</v>
      </c>
      <c r="H477" s="39" t="str">
        <f>IF(MOD(50,10)=0,TEXT($B477,"0"),"")</f>
        <v>700</v>
      </c>
    </row>
    <row r="478" spans="2:8" ht="17" customHeight="1">
      <c r="B478" s="50">
        <v>710</v>
      </c>
      <c r="C478" s="37">
        <f>((Ship_NH3Fuel*$B478+Ship_PilotN*Ship_P_VLSFO)-Ship_FixedL)/Ship_BOG</f>
        <v>3.70737159505616</v>
      </c>
      <c r="D478" s="37">
        <f>((Ship_NH3Fuel*$B478+Ship_PilotN*Ship_P_VLSFO)*Ship_ScaleN-Ship_FixedL)/Ship_BOG</f>
        <v>2.03976659923477</v>
      </c>
      <c r="E478" s="37">
        <f>Ship_SW</f>
        <v>1.75609756097561</v>
      </c>
      <c r="F478" s="37" t="e">
        <f>IF(ABS($B478-Ship_P_N)&lt;=5,C478,NA())</f>
        <v>#N/A</v>
      </c>
      <c r="G478" s="37" t="e">
        <f>IF(ABS($B478-Ship_P_N)&lt;=5,D478,NA())</f>
        <v>#N/A</v>
      </c>
      <c r="H478" s="39">
        <f>IF(MOD(51,10)=0,TEXT($B478,"0"),"")</f>
        <v/>
      </c>
    </row>
    <row r="479" spans="2:8" ht="17" customHeight="1">
      <c r="B479" s="50">
        <v>720</v>
      </c>
      <c r="C479" s="37">
        <f>((Ship_NH3Fuel*$B479+Ship_PilotN*Ship_P_VLSFO)-Ship_FixedL)/Ship_BOG</f>
        <v>3.76282938164264</v>
      </c>
      <c r="D479" s="37">
        <f>((Ship_NH3Fuel*$B479+Ship_PilotN*Ship_P_VLSFO)*Ship_ScaleN-Ship_FixedL)/Ship_BOG</f>
        <v>2.07220153616693</v>
      </c>
      <c r="E479" s="37">
        <f>Ship_SW</f>
        <v>1.75609756097561</v>
      </c>
      <c r="F479" s="37" t="e">
        <f>IF(ABS($B479-Ship_P_N)&lt;=5,C479,NA())</f>
        <v>#N/A</v>
      </c>
      <c r="G479" s="37" t="e">
        <f>IF(ABS($B479-Ship_P_N)&lt;=5,D479,NA())</f>
        <v>#N/A</v>
      </c>
      <c r="H479" s="39">
        <f>IF(MOD(52,10)=0,TEXT($B479,"0"),"")</f>
        <v/>
      </c>
    </row>
    <row r="480" spans="2:8" ht="17" customHeight="1">
      <c r="B480" s="50">
        <v>730</v>
      </c>
      <c r="C480" s="37">
        <f>((Ship_NH3Fuel*$B480+Ship_PilotN*Ship_P_VLSFO)-Ship_FixedL)/Ship_BOG</f>
        <v>3.81828716822912</v>
      </c>
      <c r="D480" s="37">
        <f>((Ship_NH3Fuel*$B480+Ship_PilotN*Ship_P_VLSFO)*Ship_ScaleN-Ship_FixedL)/Ship_BOG</f>
        <v>2.10463647309909</v>
      </c>
      <c r="E480" s="37">
        <f>Ship_SW</f>
        <v>1.75609756097561</v>
      </c>
      <c r="F480" s="37" t="e">
        <f>IF(ABS($B480-Ship_P_N)&lt;=5,C480,NA())</f>
        <v>#N/A</v>
      </c>
      <c r="G480" s="37" t="e">
        <f>IF(ABS($B480-Ship_P_N)&lt;=5,D480,NA())</f>
        <v>#N/A</v>
      </c>
      <c r="H480" s="39">
        <f>IF(MOD(53,10)=0,TEXT($B480,"0"),"")</f>
        <v/>
      </c>
    </row>
    <row r="481" spans="2:8" ht="17" customHeight="1">
      <c r="B481" s="50">
        <v>740</v>
      </c>
      <c r="C481" s="37">
        <f>((Ship_NH3Fuel*$B481+Ship_PilotN*Ship_P_VLSFO)-Ship_FixedL)/Ship_BOG</f>
        <v>3.8737449548156</v>
      </c>
      <c r="D481" s="37">
        <f>((Ship_NH3Fuel*$B481+Ship_PilotN*Ship_P_VLSFO)*Ship_ScaleN-Ship_FixedL)/Ship_BOG</f>
        <v>2.13707141003125</v>
      </c>
      <c r="E481" s="37">
        <f>Ship_SW</f>
        <v>1.75609756097561</v>
      </c>
      <c r="F481" s="37" t="e">
        <f>IF(ABS($B481-Ship_P_N)&lt;=5,C481,NA())</f>
        <v>#N/A</v>
      </c>
      <c r="G481" s="37" t="e">
        <f>IF(ABS($B481-Ship_P_N)&lt;=5,D481,NA())</f>
        <v>#N/A</v>
      </c>
      <c r="H481" s="39">
        <f>IF(MOD(54,10)=0,TEXT($B481,"0"),"")</f>
        <v/>
      </c>
    </row>
    <row r="482" spans="2:8" ht="17" customHeight="1">
      <c r="B482" s="50">
        <v>750</v>
      </c>
      <c r="C482" s="37">
        <f>((Ship_NH3Fuel*$B482+Ship_PilotN*Ship_P_VLSFO)-Ship_FixedL)/Ship_BOG</f>
        <v>3.92920274140207</v>
      </c>
      <c r="D482" s="37">
        <f>((Ship_NH3Fuel*$B482+Ship_PilotN*Ship_P_VLSFO)*Ship_ScaleN-Ship_FixedL)/Ship_BOG</f>
        <v>2.16950634696341</v>
      </c>
      <c r="E482" s="37">
        <f>Ship_SW</f>
        <v>1.75609756097561</v>
      </c>
      <c r="F482" s="37" t="e">
        <f>IF(ABS($B482-Ship_P_N)&lt;=5,C482,NA())</f>
        <v>#N/A</v>
      </c>
      <c r="G482" s="37" t="e">
        <f>IF(ABS($B482-Ship_P_N)&lt;=5,D482,NA())</f>
        <v>#N/A</v>
      </c>
      <c r="H482" s="39">
        <f>IF(MOD(55,10)=0,TEXT($B482,"0"),"")</f>
        <v/>
      </c>
    </row>
    <row r="483" spans="2:8" ht="17" customHeight="1">
      <c r="B483" s="50">
        <v>760</v>
      </c>
      <c r="C483" s="37">
        <f>((Ship_NH3Fuel*$B483+Ship_PilotN*Ship_P_VLSFO)-Ship_FixedL)/Ship_BOG</f>
        <v>3.98466052798855</v>
      </c>
      <c r="D483" s="37">
        <f>((Ship_NH3Fuel*$B483+Ship_PilotN*Ship_P_VLSFO)*Ship_ScaleN-Ship_FixedL)/Ship_BOG</f>
        <v>2.20194128389557</v>
      </c>
      <c r="E483" s="37">
        <f>Ship_SW</f>
        <v>1.75609756097561</v>
      </c>
      <c r="F483" s="37" t="e">
        <f>IF(ABS($B483-Ship_P_N)&lt;=5,C483,NA())</f>
        <v>#N/A</v>
      </c>
      <c r="G483" s="37" t="e">
        <f>IF(ABS($B483-Ship_P_N)&lt;=5,D483,NA())</f>
        <v>#N/A</v>
      </c>
      <c r="H483" s="39">
        <f>IF(MOD(56,10)=0,TEXT($B483,"0"),"")</f>
        <v/>
      </c>
    </row>
    <row r="484" spans="2:8" ht="17" customHeight="1">
      <c r="B484" s="50">
        <v>770</v>
      </c>
      <c r="C484" s="37">
        <f>((Ship_NH3Fuel*$B484+Ship_PilotN*Ship_P_VLSFO)-Ship_FixedL)/Ship_BOG</f>
        <v>4.04011831457503</v>
      </c>
      <c r="D484" s="37">
        <f>((Ship_NH3Fuel*$B484+Ship_PilotN*Ship_P_VLSFO)*Ship_ScaleN-Ship_FixedL)/Ship_BOG</f>
        <v>2.23437622082773</v>
      </c>
      <c r="E484" s="37">
        <f>Ship_SW</f>
        <v>1.75609756097561</v>
      </c>
      <c r="F484" s="37" t="e">
        <f>IF(ABS($B484-Ship_P_N)&lt;=5,C484,NA())</f>
        <v>#N/A</v>
      </c>
      <c r="G484" s="37" t="e">
        <f>IF(ABS($B484-Ship_P_N)&lt;=5,D484,NA())</f>
        <v>#N/A</v>
      </c>
      <c r="H484" s="39">
        <f>IF(MOD(57,10)=0,TEXT($B484,"0"),"")</f>
        <v/>
      </c>
    </row>
    <row r="485" spans="2:8" ht="17" customHeight="1">
      <c r="B485" s="50">
        <v>780</v>
      </c>
      <c r="C485" s="37">
        <f>((Ship_NH3Fuel*$B485+Ship_PilotN*Ship_P_VLSFO)-Ship_FixedL)/Ship_BOG</f>
        <v>4.0955761011615</v>
      </c>
      <c r="D485" s="37">
        <f>((Ship_NH3Fuel*$B485+Ship_PilotN*Ship_P_VLSFO)*Ship_ScaleN-Ship_FixedL)/Ship_BOG</f>
        <v>2.26681115775989</v>
      </c>
      <c r="E485" s="37">
        <f>Ship_SW</f>
        <v>1.75609756097561</v>
      </c>
      <c r="F485" s="37" t="e">
        <f>IF(ABS($B485-Ship_P_N)&lt;=5,C485,NA())</f>
        <v>#N/A</v>
      </c>
      <c r="G485" s="37" t="e">
        <f>IF(ABS($B485-Ship_P_N)&lt;=5,D485,NA())</f>
        <v>#N/A</v>
      </c>
      <c r="H485" s="39">
        <f>IF(MOD(58,10)=0,TEXT($B485,"0"),"")</f>
        <v/>
      </c>
    </row>
    <row r="486" spans="2:8" ht="17" customHeight="1">
      <c r="B486" s="50">
        <v>790</v>
      </c>
      <c r="C486" s="37">
        <f>((Ship_NH3Fuel*$B486+Ship_PilotN*Ship_P_VLSFO)-Ship_FixedL)/Ship_BOG</f>
        <v>4.15103388774798</v>
      </c>
      <c r="D486" s="37">
        <f>((Ship_NH3Fuel*$B486+Ship_PilotN*Ship_P_VLSFO)*Ship_ScaleN-Ship_FixedL)/Ship_BOG</f>
        <v>2.29924609469205</v>
      </c>
      <c r="E486" s="37">
        <f>Ship_SW</f>
        <v>1.75609756097561</v>
      </c>
      <c r="F486" s="37" t="e">
        <f>IF(ABS($B486-Ship_P_N)&lt;=5,C486,NA())</f>
        <v>#N/A</v>
      </c>
      <c r="G486" s="37" t="e">
        <f>IF(ABS($B486-Ship_P_N)&lt;=5,D486,NA())</f>
        <v>#N/A</v>
      </c>
      <c r="H486" s="39">
        <f>IF(MOD(59,10)=0,TEXT($B486,"0"),"")</f>
        <v/>
      </c>
    </row>
    <row r="487" spans="2:8" ht="17" customHeight="1">
      <c r="B487" s="50">
        <v>800</v>
      </c>
      <c r="C487" s="37">
        <f>((Ship_NH3Fuel*$B487+Ship_PilotN*Ship_P_VLSFO)-Ship_FixedL)/Ship_BOG</f>
        <v>4.20649167433446</v>
      </c>
      <c r="D487" s="37">
        <f>((Ship_NH3Fuel*$B487+Ship_PilotN*Ship_P_VLSFO)*Ship_ScaleN-Ship_FixedL)/Ship_BOG</f>
        <v>2.33168103162421</v>
      </c>
      <c r="E487" s="37">
        <f>Ship_SW</f>
        <v>1.75609756097561</v>
      </c>
      <c r="F487" s="37" t="e">
        <f>IF(ABS($B487-Ship_P_N)&lt;=5,C487,NA())</f>
        <v>#N/A</v>
      </c>
      <c r="G487" s="37" t="e">
        <f>IF(ABS($B487-Ship_P_N)&lt;=5,D487,NA())</f>
        <v>#N/A</v>
      </c>
      <c r="H487" s="39" t="str">
        <f>IF(MOD(60,10)=0,TEXT($B487,"0"),"")</f>
        <v>800</v>
      </c>
    </row>
    <row r="488" spans="2:8" ht="17" customHeight="1">
      <c r="B488" s="50">
        <v>810</v>
      </c>
      <c r="C488" s="37">
        <f>((Ship_NH3Fuel*$B488+Ship_PilotN*Ship_P_VLSFO)-Ship_FixedL)/Ship_BOG</f>
        <v>4.26194946092094</v>
      </c>
      <c r="D488" s="37">
        <f>((Ship_NH3Fuel*$B488+Ship_PilotN*Ship_P_VLSFO)*Ship_ScaleN-Ship_FixedL)/Ship_BOG</f>
        <v>2.36411596855637</v>
      </c>
      <c r="E488" s="37">
        <f>Ship_SW</f>
        <v>1.75609756097561</v>
      </c>
      <c r="F488" s="37" t="e">
        <f>IF(ABS($B488-Ship_P_N)&lt;=5,C488,NA())</f>
        <v>#N/A</v>
      </c>
      <c r="G488" s="37" t="e">
        <f>IF(ABS($B488-Ship_P_N)&lt;=5,D488,NA())</f>
        <v>#N/A</v>
      </c>
      <c r="H488" s="39">
        <f>IF(MOD(61,10)=0,TEXT($B488,"0"),"")</f>
        <v/>
      </c>
    </row>
    <row r="489" spans="2:8" ht="17" customHeight="1">
      <c r="B489" s="50">
        <v>820</v>
      </c>
      <c r="C489" s="37">
        <f>((Ship_NH3Fuel*$B489+Ship_PilotN*Ship_P_VLSFO)-Ship_FixedL)/Ship_BOG</f>
        <v>4.31740724750741</v>
      </c>
      <c r="D489" s="37">
        <f>((Ship_NH3Fuel*$B489+Ship_PilotN*Ship_P_VLSFO)*Ship_ScaleN-Ship_FixedL)/Ship_BOG</f>
        <v>2.39655090548852</v>
      </c>
      <c r="E489" s="37">
        <f>Ship_SW</f>
        <v>1.75609756097561</v>
      </c>
      <c r="F489" s="37" t="e">
        <f>IF(ABS($B489-Ship_P_N)&lt;=5,C489,NA())</f>
        <v>#N/A</v>
      </c>
      <c r="G489" s="37" t="e">
        <f>IF(ABS($B489-Ship_P_N)&lt;=5,D489,NA())</f>
        <v>#N/A</v>
      </c>
      <c r="H489" s="39">
        <f>IF(MOD(62,10)=0,TEXT($B489,"0"),"")</f>
        <v/>
      </c>
    </row>
    <row r="490" spans="2:8" ht="17" customHeight="1">
      <c r="B490" s="50">
        <v>830</v>
      </c>
      <c r="C490" s="37">
        <f>((Ship_NH3Fuel*$B490+Ship_PilotN*Ship_P_VLSFO)-Ship_FixedL)/Ship_BOG</f>
        <v>4.37286503409389</v>
      </c>
      <c r="D490" s="37">
        <f>((Ship_NH3Fuel*$B490+Ship_PilotN*Ship_P_VLSFO)*Ship_ScaleN-Ship_FixedL)/Ship_BOG</f>
        <v>2.42898584242068</v>
      </c>
      <c r="E490" s="37">
        <f>Ship_SW</f>
        <v>1.75609756097561</v>
      </c>
      <c r="F490" s="37" t="e">
        <f>IF(ABS($B490-Ship_P_N)&lt;=5,C490,NA())</f>
        <v>#N/A</v>
      </c>
      <c r="G490" s="37" t="e">
        <f>IF(ABS($B490-Ship_P_N)&lt;=5,D490,NA())</f>
        <v>#N/A</v>
      </c>
      <c r="H490" s="39">
        <f>IF(MOD(63,10)=0,TEXT($B490,"0"),"")</f>
        <v/>
      </c>
    </row>
    <row r="491" spans="2:8" ht="17" customHeight="1">
      <c r="B491" s="50">
        <v>840</v>
      </c>
      <c r="C491" s="37">
        <f>((Ship_NH3Fuel*$B491+Ship_PilotN*Ship_P_VLSFO)-Ship_FixedL)/Ship_BOG</f>
        <v>4.42832282068037</v>
      </c>
      <c r="D491" s="37">
        <f>((Ship_NH3Fuel*$B491+Ship_PilotN*Ship_P_VLSFO)*Ship_ScaleN-Ship_FixedL)/Ship_BOG</f>
        <v>2.46142077935284</v>
      </c>
      <c r="E491" s="37">
        <f>Ship_SW</f>
        <v>1.75609756097561</v>
      </c>
      <c r="F491" s="37" t="e">
        <f>IF(ABS($B491-Ship_P_N)&lt;=5,C491,NA())</f>
        <v>#N/A</v>
      </c>
      <c r="G491" s="37" t="e">
        <f>IF(ABS($B491-Ship_P_N)&lt;=5,D491,NA())</f>
        <v>#N/A</v>
      </c>
      <c r="H491" s="39">
        <f>IF(MOD(64,10)=0,TEXT($B491,"0"),"")</f>
        <v/>
      </c>
    </row>
    <row r="492" spans="2:8" ht="17" customHeight="1">
      <c r="B492" s="50">
        <v>850</v>
      </c>
      <c r="C492" s="37">
        <f>((Ship_NH3Fuel*$B492+Ship_PilotN*Ship_P_VLSFO)-Ship_FixedL)/Ship_BOG</f>
        <v>4.48378060726684</v>
      </c>
      <c r="D492" s="37">
        <f>((Ship_NH3Fuel*$B492+Ship_PilotN*Ship_P_VLSFO)*Ship_ScaleN-Ship_FixedL)/Ship_BOG</f>
        <v>2.493855716285</v>
      </c>
      <c r="E492" s="37">
        <f>Ship_SW</f>
        <v>1.75609756097561</v>
      </c>
      <c r="F492" s="37" t="e">
        <f>IF(ABS($B492-Ship_P_N)&lt;=5,C492,NA())</f>
        <v>#N/A</v>
      </c>
      <c r="G492" s="37" t="e">
        <f>IF(ABS($B492-Ship_P_N)&lt;=5,D492,NA())</f>
        <v>#N/A</v>
      </c>
      <c r="H492" s="39">
        <f>IF(MOD(65,10)=0,TEXT($B492,"0"),"")</f>
        <v/>
      </c>
    </row>
    <row r="493" spans="2:8" ht="17" customHeight="1">
      <c r="B493" s="50">
        <v>860</v>
      </c>
      <c r="C493" s="37">
        <f>((Ship_NH3Fuel*$B493+Ship_PilotN*Ship_P_VLSFO)-Ship_FixedL)/Ship_BOG</f>
        <v>4.53923839385332</v>
      </c>
      <c r="D493" s="37">
        <f>((Ship_NH3Fuel*$B493+Ship_PilotN*Ship_P_VLSFO)*Ship_ScaleN-Ship_FixedL)/Ship_BOG</f>
        <v>2.52629065321716</v>
      </c>
      <c r="E493" s="37">
        <f>Ship_SW</f>
        <v>1.75609756097561</v>
      </c>
      <c r="F493" s="37" t="e">
        <f>IF(ABS($B493-Ship_P_N)&lt;=5,C493,NA())</f>
        <v>#N/A</v>
      </c>
      <c r="G493" s="37" t="e">
        <f>IF(ABS($B493-Ship_P_N)&lt;=5,D493,NA())</f>
        <v>#N/A</v>
      </c>
      <c r="H493" s="39">
        <f>IF(MOD(66,10)=0,TEXT($B493,"0"),"")</f>
        <v/>
      </c>
    </row>
    <row r="494" spans="2:8" ht="17" customHeight="1">
      <c r="B494" s="50">
        <v>870</v>
      </c>
      <c r="C494" s="37">
        <f>((Ship_NH3Fuel*$B494+Ship_PilotN*Ship_P_VLSFO)-Ship_FixedL)/Ship_BOG</f>
        <v>4.5946961804398</v>
      </c>
      <c r="D494" s="37">
        <f>((Ship_NH3Fuel*$B494+Ship_PilotN*Ship_P_VLSFO)*Ship_ScaleN-Ship_FixedL)/Ship_BOG</f>
        <v>2.55872559014932</v>
      </c>
      <c r="E494" s="37">
        <f>Ship_SW</f>
        <v>1.75609756097561</v>
      </c>
      <c r="F494" s="37" t="e">
        <f>IF(ABS($B494-Ship_P_N)&lt;=5,C494,NA())</f>
        <v>#N/A</v>
      </c>
      <c r="G494" s="37" t="e">
        <f>IF(ABS($B494-Ship_P_N)&lt;=5,D494,NA())</f>
        <v>#N/A</v>
      </c>
      <c r="H494" s="39">
        <f>IF(MOD(67,10)=0,TEXT($B494,"0"),"")</f>
        <v/>
      </c>
    </row>
    <row r="495" spans="2:8" ht="17" customHeight="1">
      <c r="B495" s="50">
        <v>880</v>
      </c>
      <c r="C495" s="37">
        <f>((Ship_NH3Fuel*$B495+Ship_PilotN*Ship_P_VLSFO)-Ship_FixedL)/Ship_BOG</f>
        <v>4.65015396702628</v>
      </c>
      <c r="D495" s="37">
        <f>((Ship_NH3Fuel*$B495+Ship_PilotN*Ship_P_VLSFO)*Ship_ScaleN-Ship_FixedL)/Ship_BOG</f>
        <v>2.59116052708148</v>
      </c>
      <c r="E495" s="37">
        <f>Ship_SW</f>
        <v>1.75609756097561</v>
      </c>
      <c r="F495" s="37" t="e">
        <f>IF(ABS($B495-Ship_P_N)&lt;=5,C495,NA())</f>
        <v>#N/A</v>
      </c>
      <c r="G495" s="37" t="e">
        <f>IF(ABS($B495-Ship_P_N)&lt;=5,D495,NA())</f>
        <v>#N/A</v>
      </c>
      <c r="H495" s="39">
        <f>IF(MOD(68,10)=0,TEXT($B495,"0"),"")</f>
        <v/>
      </c>
    </row>
    <row r="496" spans="2:8" ht="17" customHeight="1">
      <c r="B496" s="50">
        <v>890</v>
      </c>
      <c r="C496" s="37">
        <f>((Ship_NH3Fuel*$B496+Ship_PilotN*Ship_P_VLSFO)-Ship_FixedL)/Ship_BOG</f>
        <v>4.70561175361275</v>
      </c>
      <c r="D496" s="37">
        <f>((Ship_NH3Fuel*$B496+Ship_PilotN*Ship_P_VLSFO)*Ship_ScaleN-Ship_FixedL)/Ship_BOG</f>
        <v>2.62359546401364</v>
      </c>
      <c r="E496" s="37">
        <f>Ship_SW</f>
        <v>1.75609756097561</v>
      </c>
      <c r="F496" s="37" t="e">
        <f>IF(ABS($B496-Ship_P_N)&lt;=5,C496,NA())</f>
        <v>#N/A</v>
      </c>
      <c r="G496" s="37" t="e">
        <f>IF(ABS($B496-Ship_P_N)&lt;=5,D496,NA())</f>
        <v>#N/A</v>
      </c>
      <c r="H496" s="39">
        <f>IF(MOD(69,10)=0,TEXT($B496,"0"),"")</f>
        <v/>
      </c>
    </row>
    <row r="497" spans="2:8" ht="17" customHeight="1">
      <c r="B497" s="50">
        <v>900</v>
      </c>
      <c r="C497" s="37">
        <f>((Ship_NH3Fuel*$B497+Ship_PilotN*Ship_P_VLSFO)-Ship_FixedL)/Ship_BOG</f>
        <v>4.76106954019923</v>
      </c>
      <c r="D497" s="37">
        <f>((Ship_NH3Fuel*$B497+Ship_PilotN*Ship_P_VLSFO)*Ship_ScaleN-Ship_FixedL)/Ship_BOG</f>
        <v>2.6560304009458</v>
      </c>
      <c r="E497" s="37">
        <f>Ship_SW</f>
        <v>1.75609756097561</v>
      </c>
      <c r="F497" s="37" t="e">
        <f>IF(ABS($B497-Ship_P_N)&lt;=5,C497,NA())</f>
        <v>#N/A</v>
      </c>
      <c r="G497" s="37" t="e">
        <f>IF(ABS($B497-Ship_P_N)&lt;=5,D497,NA())</f>
        <v>#N/A</v>
      </c>
      <c r="H497" s="39" t="str">
        <f>IF(MOD(70,10)=0,TEXT($B497,"0"),"")</f>
        <v>900</v>
      </c>
    </row>
    <row r="498" spans="2:8" ht="17" customHeight="1">
      <c r="B498" s="50">
        <v>910</v>
      </c>
      <c r="C498" s="37">
        <f>((Ship_NH3Fuel*$B498+Ship_PilotN*Ship_P_VLSFO)-Ship_FixedL)/Ship_BOG</f>
        <v>4.81652732678571</v>
      </c>
      <c r="D498" s="37">
        <f>((Ship_NH3Fuel*$B498+Ship_PilotN*Ship_P_VLSFO)*Ship_ScaleN-Ship_FixedL)/Ship_BOG</f>
        <v>2.68846533787796</v>
      </c>
      <c r="E498" s="37">
        <f>Ship_SW</f>
        <v>1.75609756097561</v>
      </c>
      <c r="F498" s="37" t="e">
        <f>IF(ABS($B498-Ship_P_N)&lt;=5,C498,NA())</f>
        <v>#N/A</v>
      </c>
      <c r="G498" s="37" t="e">
        <f>IF(ABS($B498-Ship_P_N)&lt;=5,D498,NA())</f>
        <v>#N/A</v>
      </c>
      <c r="H498" s="39">
        <f>IF(MOD(71,10)=0,TEXT($B498,"0"),"")</f>
        <v/>
      </c>
    </row>
    <row r="499" spans="2:8" ht="17" customHeight="1">
      <c r="B499" s="50">
        <v>920</v>
      </c>
      <c r="C499" s="37">
        <f>((Ship_NH3Fuel*$B499+Ship_PilotN*Ship_P_VLSFO)-Ship_FixedL)/Ship_BOG</f>
        <v>4.87198511337218</v>
      </c>
      <c r="D499" s="37">
        <f>((Ship_NH3Fuel*$B499+Ship_PilotN*Ship_P_VLSFO)*Ship_ScaleN-Ship_FixedL)/Ship_BOG</f>
        <v>2.72090027481012</v>
      </c>
      <c r="E499" s="37">
        <f>Ship_SW</f>
        <v>1.75609756097561</v>
      </c>
      <c r="F499" s="37" t="e">
        <f>IF(ABS($B499-Ship_P_N)&lt;=5,C499,NA())</f>
        <v>#N/A</v>
      </c>
      <c r="G499" s="37" t="e">
        <f>IF(ABS($B499-Ship_P_N)&lt;=5,D499,NA())</f>
        <v>#N/A</v>
      </c>
      <c r="H499" s="39">
        <f>IF(MOD(72,10)=0,TEXT($B499,"0"),"")</f>
        <v/>
      </c>
    </row>
    <row r="500" spans="2:8" ht="17" customHeight="1">
      <c r="B500" s="50">
        <v>930</v>
      </c>
      <c r="C500" s="37">
        <f>((Ship_NH3Fuel*$B500+Ship_PilotN*Ship_P_VLSFO)-Ship_FixedL)/Ship_BOG</f>
        <v>4.92744289995866</v>
      </c>
      <c r="D500" s="37">
        <f>((Ship_NH3Fuel*$B500+Ship_PilotN*Ship_P_VLSFO)*Ship_ScaleN-Ship_FixedL)/Ship_BOG</f>
        <v>2.75333521174228</v>
      </c>
      <c r="E500" s="37">
        <f>Ship_SW</f>
        <v>1.75609756097561</v>
      </c>
      <c r="F500" s="37" t="e">
        <f>IF(ABS($B500-Ship_P_N)&lt;=5,C500,NA())</f>
        <v>#N/A</v>
      </c>
      <c r="G500" s="37" t="e">
        <f>IF(ABS($B500-Ship_P_N)&lt;=5,D500,NA())</f>
        <v>#N/A</v>
      </c>
      <c r="H500" s="39">
        <f>IF(MOD(73,10)=0,TEXT($B500,"0"),"")</f>
        <v/>
      </c>
    </row>
    <row r="501" spans="2:8" ht="17" customHeight="1">
      <c r="B501" s="50">
        <v>940</v>
      </c>
      <c r="C501" s="37">
        <f>((Ship_NH3Fuel*$B501+Ship_PilotN*Ship_P_VLSFO)-Ship_FixedL)/Ship_BOG</f>
        <v>4.98290068654514</v>
      </c>
      <c r="D501" s="37">
        <f>((Ship_NH3Fuel*$B501+Ship_PilotN*Ship_P_VLSFO)*Ship_ScaleN-Ship_FixedL)/Ship_BOG</f>
        <v>2.78577014867444</v>
      </c>
      <c r="E501" s="37">
        <f>Ship_SW</f>
        <v>1.75609756097561</v>
      </c>
      <c r="F501" s="37" t="e">
        <f>IF(ABS($B501-Ship_P_N)&lt;=5,C501,NA())</f>
        <v>#N/A</v>
      </c>
      <c r="G501" s="37" t="e">
        <f>IF(ABS($B501-Ship_P_N)&lt;=5,D501,NA())</f>
        <v>#N/A</v>
      </c>
      <c r="H501" s="39">
        <f>IF(MOD(74,10)=0,TEXT($B501,"0"),"")</f>
        <v/>
      </c>
    </row>
    <row r="502" spans="2:8" ht="17" customHeight="1">
      <c r="B502" s="50">
        <v>950</v>
      </c>
      <c r="C502" s="37">
        <f>((Ship_NH3Fuel*$B502+Ship_PilotN*Ship_P_VLSFO)-Ship_FixedL)/Ship_BOG</f>
        <v>5.03835847313161</v>
      </c>
      <c r="D502" s="37">
        <f>((Ship_NH3Fuel*$B502+Ship_PilotN*Ship_P_VLSFO)*Ship_ScaleN-Ship_FixedL)/Ship_BOG</f>
        <v>2.8182050856066</v>
      </c>
      <c r="E502" s="37">
        <f>Ship_SW</f>
        <v>1.75609756097561</v>
      </c>
      <c r="F502" s="37" t="e">
        <f>IF(ABS($B502-Ship_P_N)&lt;=5,C502,NA())</f>
        <v>#N/A</v>
      </c>
      <c r="G502" s="37" t="e">
        <f>IF(ABS($B502-Ship_P_N)&lt;=5,D502,NA())</f>
        <v>#N/A</v>
      </c>
      <c r="H502" s="39">
        <f>IF(MOD(75,10)=0,TEXT($B502,"0"),"")</f>
        <v/>
      </c>
    </row>
    <row r="503" spans="2:8" ht="17" customHeight="1">
      <c r="B503" s="50">
        <v>960</v>
      </c>
      <c r="C503" s="37">
        <f>((Ship_NH3Fuel*$B503+Ship_PilotN*Ship_P_VLSFO)-Ship_FixedL)/Ship_BOG</f>
        <v>5.09381625971809</v>
      </c>
      <c r="D503" s="37">
        <f>((Ship_NH3Fuel*$B503+Ship_PilotN*Ship_P_VLSFO)*Ship_ScaleN-Ship_FixedL)/Ship_BOG</f>
        <v>2.85064002253876</v>
      </c>
      <c r="E503" s="37">
        <f>Ship_SW</f>
        <v>1.75609756097561</v>
      </c>
      <c r="F503" s="37" t="e">
        <f>IF(ABS($B503-Ship_P_N)&lt;=5,C503,NA())</f>
        <v>#N/A</v>
      </c>
      <c r="G503" s="37" t="e">
        <f>IF(ABS($B503-Ship_P_N)&lt;=5,D503,NA())</f>
        <v>#N/A</v>
      </c>
      <c r="H503" s="39">
        <f>IF(MOD(76,10)=0,TEXT($B503,"0"),"")</f>
        <v/>
      </c>
    </row>
    <row r="504" spans="2:8" ht="17" customHeight="1">
      <c r="B504" s="50">
        <v>970</v>
      </c>
      <c r="C504" s="37">
        <f>((Ship_NH3Fuel*$B504+Ship_PilotN*Ship_P_VLSFO)-Ship_FixedL)/Ship_BOG</f>
        <v>5.14927404630457</v>
      </c>
      <c r="D504" s="37">
        <f>((Ship_NH3Fuel*$B504+Ship_PilotN*Ship_P_VLSFO)*Ship_ScaleN-Ship_FixedL)/Ship_BOG</f>
        <v>2.88307495947092</v>
      </c>
      <c r="E504" s="37">
        <f>Ship_SW</f>
        <v>1.75609756097561</v>
      </c>
      <c r="F504" s="37" t="e">
        <f>IF(ABS($B504-Ship_P_N)&lt;=5,C504,NA())</f>
        <v>#N/A</v>
      </c>
      <c r="G504" s="37" t="e">
        <f>IF(ABS($B504-Ship_P_N)&lt;=5,D504,NA())</f>
        <v>#N/A</v>
      </c>
      <c r="H504" s="39">
        <f>IF(MOD(77,10)=0,TEXT($B504,"0"),"")</f>
        <v/>
      </c>
    </row>
    <row r="505" spans="2:8" ht="17" customHeight="1">
      <c r="B505" s="50">
        <v>980</v>
      </c>
      <c r="C505" s="37">
        <f>((Ship_NH3Fuel*$B505+Ship_PilotN*Ship_P_VLSFO)-Ship_FixedL)/Ship_BOG</f>
        <v>5.20473183289105</v>
      </c>
      <c r="D505" s="37">
        <f>((Ship_NH3Fuel*$B505+Ship_PilotN*Ship_P_VLSFO)*Ship_ScaleN-Ship_FixedL)/Ship_BOG</f>
        <v>2.91550989640308</v>
      </c>
      <c r="E505" s="37">
        <f>Ship_SW</f>
        <v>1.75609756097561</v>
      </c>
      <c r="F505" s="37" t="e">
        <f>IF(ABS($B505-Ship_P_N)&lt;=5,C505,NA())</f>
        <v>#N/A</v>
      </c>
      <c r="G505" s="37" t="e">
        <f>IF(ABS($B505-Ship_P_N)&lt;=5,D505,NA())</f>
        <v>#N/A</v>
      </c>
      <c r="H505" s="39">
        <f>IF(MOD(78,10)=0,TEXT($B505,"0"),"")</f>
        <v/>
      </c>
    </row>
    <row r="506" spans="2:8" ht="17" customHeight="1">
      <c r="B506" s="50">
        <v>990</v>
      </c>
      <c r="C506" s="37">
        <f>((Ship_NH3Fuel*$B506+Ship_PilotN*Ship_P_VLSFO)-Ship_FixedL)/Ship_BOG</f>
        <v>5.26018961947752</v>
      </c>
      <c r="D506" s="37">
        <f>((Ship_NH3Fuel*$B506+Ship_PilotN*Ship_P_VLSFO)*Ship_ScaleN-Ship_FixedL)/Ship_BOG</f>
        <v>2.94794483333524</v>
      </c>
      <c r="E506" s="37">
        <f>Ship_SW</f>
        <v>1.75609756097561</v>
      </c>
      <c r="F506" s="37" t="e">
        <f>IF(ABS($B506-Ship_P_N)&lt;=5,C506,NA())</f>
        <v>#N/A</v>
      </c>
      <c r="G506" s="37" t="e">
        <f>IF(ABS($B506-Ship_P_N)&lt;=5,D506,NA())</f>
        <v>#N/A</v>
      </c>
      <c r="H506" s="39">
        <f>IF(MOD(79,10)=0,TEXT($B506,"0"),"")</f>
        <v/>
      </c>
    </row>
    <row r="507" spans="2:8" ht="17" customHeight="1">
      <c r="B507" s="50">
        <v>1000</v>
      </c>
      <c r="C507" s="37">
        <f>((Ship_NH3Fuel*$B507+Ship_PilotN*Ship_P_VLSFO)-Ship_FixedL)/Ship_BOG</f>
        <v>5.315647406064</v>
      </c>
      <c r="D507" s="37">
        <f>((Ship_NH3Fuel*$B507+Ship_PilotN*Ship_P_VLSFO)*Ship_ScaleN-Ship_FixedL)/Ship_BOG</f>
        <v>2.9803797702674</v>
      </c>
      <c r="E507" s="37">
        <f>Ship_SW</f>
        <v>1.75609756097561</v>
      </c>
      <c r="F507" s="37" t="e">
        <f>IF(ABS($B507-Ship_P_N)&lt;=5,C507,NA())</f>
        <v>#N/A</v>
      </c>
      <c r="G507" s="37" t="e">
        <f>IF(ABS($B507-Ship_P_N)&lt;=5,D507,NA())</f>
        <v>#N/A</v>
      </c>
      <c r="H507" s="39" t="str">
        <f>IF(MOD(80,10)=0,TEXT($B507,"0"),"")</f>
        <v>1000</v>
      </c>
    </row>
    <row r="508" spans="2:8" ht="17" customHeight="1">
      <c r="B508" s="50">
        <v>1010</v>
      </c>
      <c r="C508" s="37">
        <f>((Ship_NH3Fuel*$B508+Ship_PilotN*Ship_P_VLSFO)-Ship_FixedL)/Ship_BOG</f>
        <v>5.37110519265048</v>
      </c>
      <c r="D508" s="37">
        <f>((Ship_NH3Fuel*$B508+Ship_PilotN*Ship_P_VLSFO)*Ship_ScaleN-Ship_FixedL)/Ship_BOG</f>
        <v>3.01281470719956</v>
      </c>
      <c r="E508" s="37">
        <f>Ship_SW</f>
        <v>1.75609756097561</v>
      </c>
      <c r="F508" s="37" t="e">
        <f>IF(ABS($B508-Ship_P_N)&lt;=5,C508,NA())</f>
        <v>#N/A</v>
      </c>
      <c r="G508" s="37" t="e">
        <f>IF(ABS($B508-Ship_P_N)&lt;=5,D508,NA())</f>
        <v>#N/A</v>
      </c>
      <c r="H508" s="39">
        <f>IF(MOD(81,10)=0,TEXT($B508,"0"),"")</f>
        <v/>
      </c>
    </row>
    <row r="509" spans="2:8" ht="17" customHeight="1">
      <c r="B509" s="50">
        <v>1020</v>
      </c>
      <c r="C509" s="37">
        <f>((Ship_NH3Fuel*$B509+Ship_PilotN*Ship_P_VLSFO)-Ship_FixedL)/Ship_BOG</f>
        <v>5.42656297923695</v>
      </c>
      <c r="D509" s="37">
        <f>((Ship_NH3Fuel*$B509+Ship_PilotN*Ship_P_VLSFO)*Ship_ScaleN-Ship_FixedL)/Ship_BOG</f>
        <v>3.04524964413172</v>
      </c>
      <c r="E509" s="37">
        <f>Ship_SW</f>
        <v>1.75609756097561</v>
      </c>
      <c r="F509" s="37" t="e">
        <f>IF(ABS($B509-Ship_P_N)&lt;=5,C509,NA())</f>
        <v>#N/A</v>
      </c>
      <c r="G509" s="37" t="e">
        <f>IF(ABS($B509-Ship_P_N)&lt;=5,D509,NA())</f>
        <v>#N/A</v>
      </c>
      <c r="H509" s="39">
        <f>IF(MOD(82,10)=0,TEXT($B509,"0"),"")</f>
        <v/>
      </c>
    </row>
    <row r="510" spans="2:8" ht="17" customHeight="1">
      <c r="B510" s="50">
        <v>1030</v>
      </c>
      <c r="C510" s="37">
        <f>((Ship_NH3Fuel*$B510+Ship_PilotN*Ship_P_VLSFO)-Ship_FixedL)/Ship_BOG</f>
        <v>5.48202076582343</v>
      </c>
      <c r="D510" s="37">
        <f>((Ship_NH3Fuel*$B510+Ship_PilotN*Ship_P_VLSFO)*Ship_ScaleN-Ship_FixedL)/Ship_BOG</f>
        <v>3.07768458106388</v>
      </c>
      <c r="E510" s="37">
        <f>Ship_SW</f>
        <v>1.75609756097561</v>
      </c>
      <c r="F510" s="37" t="e">
        <f>IF(ABS($B510-Ship_P_N)&lt;=5,C510,NA())</f>
        <v>#N/A</v>
      </c>
      <c r="G510" s="37" t="e">
        <f>IF(ABS($B510-Ship_P_N)&lt;=5,D510,NA())</f>
        <v>#N/A</v>
      </c>
      <c r="H510" s="39">
        <f>IF(MOD(83,10)=0,TEXT($B510,"0"),"")</f>
        <v/>
      </c>
    </row>
    <row r="511" spans="2:8" ht="17" customHeight="1">
      <c r="B511" s="50">
        <v>1040</v>
      </c>
      <c r="C511" s="37">
        <f>((Ship_NH3Fuel*$B511+Ship_PilotN*Ship_P_VLSFO)-Ship_FixedL)/Ship_BOG</f>
        <v>5.53747855240991</v>
      </c>
      <c r="D511" s="37">
        <f>((Ship_NH3Fuel*$B511+Ship_PilotN*Ship_P_VLSFO)*Ship_ScaleN-Ship_FixedL)/Ship_BOG</f>
        <v>3.11011951799604</v>
      </c>
      <c r="E511" s="37">
        <f>Ship_SW</f>
        <v>1.75609756097561</v>
      </c>
      <c r="F511" s="37" t="e">
        <f>IF(ABS($B511-Ship_P_N)&lt;=5,C511,NA())</f>
        <v>#N/A</v>
      </c>
      <c r="G511" s="37" t="e">
        <f>IF(ABS($B511-Ship_P_N)&lt;=5,D511,NA())</f>
        <v>#N/A</v>
      </c>
      <c r="H511" s="39">
        <f>IF(MOD(84,10)=0,TEXT($B511,"0"),"")</f>
        <v/>
      </c>
    </row>
    <row r="512" spans="2:8" ht="17" customHeight="1">
      <c r="B512" s="50">
        <v>1050</v>
      </c>
      <c r="C512" s="37">
        <f>((Ship_NH3Fuel*$B512+Ship_PilotN*Ship_P_VLSFO)-Ship_FixedL)/Ship_BOG</f>
        <v>5.59293633899639</v>
      </c>
      <c r="D512" s="37">
        <f>((Ship_NH3Fuel*$B512+Ship_PilotN*Ship_P_VLSFO)*Ship_ScaleN-Ship_FixedL)/Ship_BOG</f>
        <v>3.14255445492819</v>
      </c>
      <c r="E512" s="37">
        <f>Ship_SW</f>
        <v>1.75609756097561</v>
      </c>
      <c r="F512" s="37" t="e">
        <f>IF(ABS($B512-Ship_P_N)&lt;=5,C512,NA())</f>
        <v>#N/A</v>
      </c>
      <c r="G512" s="37" t="e">
        <f>IF(ABS($B512-Ship_P_N)&lt;=5,D512,NA())</f>
        <v>#N/A</v>
      </c>
      <c r="H512" s="39">
        <f>IF(MOD(85,10)=0,TEXT($B512,"0"),"")</f>
        <v/>
      </c>
    </row>
    <row r="513" spans="2:8" ht="17" customHeight="1">
      <c r="B513" s="50">
        <v>1060</v>
      </c>
      <c r="C513" s="37">
        <f>((Ship_NH3Fuel*$B513+Ship_PilotN*Ship_P_VLSFO)-Ship_FixedL)/Ship_BOG</f>
        <v>5.64839412558286</v>
      </c>
      <c r="D513" s="37">
        <f>((Ship_NH3Fuel*$B513+Ship_PilotN*Ship_P_VLSFO)*Ship_ScaleN-Ship_FixedL)/Ship_BOG</f>
        <v>3.17498939186036</v>
      </c>
      <c r="E513" s="37">
        <f>Ship_SW</f>
        <v>1.75609756097561</v>
      </c>
      <c r="F513" s="37" t="e">
        <f>IF(ABS($B513-Ship_P_N)&lt;=5,C513,NA())</f>
        <v>#N/A</v>
      </c>
      <c r="G513" s="37" t="e">
        <f>IF(ABS($B513-Ship_P_N)&lt;=5,D513,NA())</f>
        <v>#N/A</v>
      </c>
      <c r="H513" s="39">
        <f>IF(MOD(86,10)=0,TEXT($B513,"0"),"")</f>
        <v/>
      </c>
    </row>
    <row r="514" spans="2:8" ht="17" customHeight="1">
      <c r="B514" s="50">
        <v>1070</v>
      </c>
      <c r="C514" s="37">
        <f>((Ship_NH3Fuel*$B514+Ship_PilotN*Ship_P_VLSFO)-Ship_FixedL)/Ship_BOG</f>
        <v>5.70385191216934</v>
      </c>
      <c r="D514" s="37">
        <f>((Ship_NH3Fuel*$B514+Ship_PilotN*Ship_P_VLSFO)*Ship_ScaleN-Ship_FixedL)/Ship_BOG</f>
        <v>3.20742432879251</v>
      </c>
      <c r="E514" s="37">
        <f>Ship_SW</f>
        <v>1.75609756097561</v>
      </c>
      <c r="F514" s="37" t="e">
        <f>IF(ABS($B514-Ship_P_N)&lt;=5,C514,NA())</f>
        <v>#N/A</v>
      </c>
      <c r="G514" s="37" t="e">
        <f>IF(ABS($B514-Ship_P_N)&lt;=5,D514,NA())</f>
        <v>#N/A</v>
      </c>
      <c r="H514" s="39">
        <f>IF(MOD(87,10)=0,TEXT($B514,"0"),"")</f>
        <v/>
      </c>
    </row>
    <row r="515" spans="2:8" ht="17" customHeight="1">
      <c r="B515" s="50">
        <v>1080</v>
      </c>
      <c r="C515" s="37">
        <f>((Ship_NH3Fuel*$B515+Ship_PilotN*Ship_P_VLSFO)-Ship_FixedL)/Ship_BOG</f>
        <v>5.75930969875582</v>
      </c>
      <c r="D515" s="37">
        <f>((Ship_NH3Fuel*$B515+Ship_PilotN*Ship_P_VLSFO)*Ship_ScaleN-Ship_FixedL)/Ship_BOG</f>
        <v>3.23985926572467</v>
      </c>
      <c r="E515" s="37">
        <f>Ship_SW</f>
        <v>1.75609756097561</v>
      </c>
      <c r="F515" s="37" t="e">
        <f>IF(ABS($B515-Ship_P_N)&lt;=5,C515,NA())</f>
        <v>#N/A</v>
      </c>
      <c r="G515" s="37" t="e">
        <f>IF(ABS($B515-Ship_P_N)&lt;=5,D515,NA())</f>
        <v>#N/A</v>
      </c>
      <c r="H515" s="39">
        <f>IF(MOD(88,10)=0,TEXT($B515,"0"),"")</f>
        <v/>
      </c>
    </row>
    <row r="516" spans="2:8" ht="17" customHeight="1">
      <c r="B516" s="50">
        <v>1090</v>
      </c>
      <c r="C516" s="37">
        <f>((Ship_NH3Fuel*$B516+Ship_PilotN*Ship_P_VLSFO)-Ship_FixedL)/Ship_BOG</f>
        <v>5.81476748534229</v>
      </c>
      <c r="D516" s="37">
        <f>((Ship_NH3Fuel*$B516+Ship_PilotN*Ship_P_VLSFO)*Ship_ScaleN-Ship_FixedL)/Ship_BOG</f>
        <v>3.27229420265683</v>
      </c>
      <c r="E516" s="37">
        <f>Ship_SW</f>
        <v>1.75609756097561</v>
      </c>
      <c r="F516" s="37" t="e">
        <f>IF(ABS($B516-Ship_P_N)&lt;=5,C516,NA())</f>
        <v>#N/A</v>
      </c>
      <c r="G516" s="37" t="e">
        <f>IF(ABS($B516-Ship_P_N)&lt;=5,D516,NA())</f>
        <v>#N/A</v>
      </c>
      <c r="H516" s="39">
        <f>IF(MOD(89,10)=0,TEXT($B516,"0"),"")</f>
        <v/>
      </c>
    </row>
    <row r="517" spans="2:8" ht="17" customHeight="1">
      <c r="B517" s="50">
        <v>1100</v>
      </c>
      <c r="C517" s="37">
        <f>((Ship_NH3Fuel*$B517+Ship_PilotN*Ship_P_VLSFO)-Ship_FixedL)/Ship_BOG</f>
        <v>5.87022527192877</v>
      </c>
      <c r="D517" s="37">
        <f>((Ship_NH3Fuel*$B517+Ship_PilotN*Ship_P_VLSFO)*Ship_ScaleN-Ship_FixedL)/Ship_BOG</f>
        <v>3.30472913958899</v>
      </c>
      <c r="E517" s="37">
        <f>Ship_SW</f>
        <v>1.75609756097561</v>
      </c>
      <c r="F517" s="37" t="e">
        <f>IF(ABS($B517-Ship_P_N)&lt;=5,C517,NA())</f>
        <v>#N/A</v>
      </c>
      <c r="G517" s="37" t="e">
        <f>IF(ABS($B517-Ship_P_N)&lt;=5,D517,NA())</f>
        <v>#N/A</v>
      </c>
      <c r="H517" s="39" t="str">
        <f>IF(MOD(90,10)=0,TEXT($B517,"0"),"")</f>
        <v>1100</v>
      </c>
    </row>
    <row r="518" spans="2:8" ht="17" customHeight="1">
      <c r="B518" s="50">
        <v>1110</v>
      </c>
      <c r="C518" s="37">
        <f>((Ship_NH3Fuel*$B518+Ship_PilotN*Ship_P_VLSFO)-Ship_FixedL)/Ship_BOG</f>
        <v>5.92568305851525</v>
      </c>
      <c r="D518" s="37">
        <f>((Ship_NH3Fuel*$B518+Ship_PilotN*Ship_P_VLSFO)*Ship_ScaleN-Ship_FixedL)/Ship_BOG</f>
        <v>3.33716407652115</v>
      </c>
      <c r="E518" s="37">
        <f>Ship_SW</f>
        <v>1.75609756097561</v>
      </c>
      <c r="F518" s="37" t="e">
        <f>IF(ABS($B518-Ship_P_N)&lt;=5,C518,NA())</f>
        <v>#N/A</v>
      </c>
      <c r="G518" s="37" t="e">
        <f>IF(ABS($B518-Ship_P_N)&lt;=5,D518,NA())</f>
        <v>#N/A</v>
      </c>
      <c r="H518" s="39">
        <f>IF(MOD(91,10)=0,TEXT($B518,"0"),"")</f>
        <v/>
      </c>
    </row>
    <row r="519" spans="2:8" ht="17" customHeight="1">
      <c r="B519" s="50">
        <v>1120</v>
      </c>
      <c r="C519" s="37">
        <f>((Ship_NH3Fuel*$B519+Ship_PilotN*Ship_P_VLSFO)-Ship_FixedL)/Ship_BOG</f>
        <v>5.98114084510172</v>
      </c>
      <c r="D519" s="37">
        <f>((Ship_NH3Fuel*$B519+Ship_PilotN*Ship_P_VLSFO)*Ship_ScaleN-Ship_FixedL)/Ship_BOG</f>
        <v>3.36959901345331</v>
      </c>
      <c r="E519" s="37">
        <f>Ship_SW</f>
        <v>1.75609756097561</v>
      </c>
      <c r="F519" s="37" t="e">
        <f>IF(ABS($B519-Ship_P_N)&lt;=5,C519,NA())</f>
        <v>#N/A</v>
      </c>
      <c r="G519" s="37" t="e">
        <f>IF(ABS($B519-Ship_P_N)&lt;=5,D519,NA())</f>
        <v>#N/A</v>
      </c>
      <c r="H519" s="39">
        <f>IF(MOD(92,10)=0,TEXT($B519,"0"),"")</f>
        <v/>
      </c>
    </row>
    <row r="520" spans="2:8" ht="17" customHeight="1">
      <c r="B520" s="50">
        <v>1130</v>
      </c>
      <c r="C520" s="37">
        <f>((Ship_NH3Fuel*$B520+Ship_PilotN*Ship_P_VLSFO)-Ship_FixedL)/Ship_BOG</f>
        <v>6.0365986316882</v>
      </c>
      <c r="D520" s="37">
        <f>((Ship_NH3Fuel*$B520+Ship_PilotN*Ship_P_VLSFO)*Ship_ScaleN-Ship_FixedL)/Ship_BOG</f>
        <v>3.40203395038547</v>
      </c>
      <c r="E520" s="37">
        <f>Ship_SW</f>
        <v>1.75609756097561</v>
      </c>
      <c r="F520" s="37" t="e">
        <f>IF(ABS($B520-Ship_P_N)&lt;=5,C520,NA())</f>
        <v>#N/A</v>
      </c>
      <c r="G520" s="37" t="e">
        <f>IF(ABS($B520-Ship_P_N)&lt;=5,D520,NA())</f>
        <v>#N/A</v>
      </c>
      <c r="H520" s="39">
        <f>IF(MOD(93,10)=0,TEXT($B520,"0"),"")</f>
        <v/>
      </c>
    </row>
    <row r="521" spans="2:8" ht="17" customHeight="1">
      <c r="B521" s="50">
        <v>1140</v>
      </c>
      <c r="C521" s="37">
        <f>((Ship_NH3Fuel*$B521+Ship_PilotN*Ship_P_VLSFO)-Ship_FixedL)/Ship_BOG</f>
        <v>6.09205641827468</v>
      </c>
      <c r="D521" s="37">
        <f>((Ship_NH3Fuel*$B521+Ship_PilotN*Ship_P_VLSFO)*Ship_ScaleN-Ship_FixedL)/Ship_BOG</f>
        <v>3.43446888731763</v>
      </c>
      <c r="E521" s="37">
        <f>Ship_SW</f>
        <v>1.75609756097561</v>
      </c>
      <c r="F521" s="37" t="e">
        <f>IF(ABS($B521-Ship_P_N)&lt;=5,C521,NA())</f>
        <v>#N/A</v>
      </c>
      <c r="G521" s="37" t="e">
        <f>IF(ABS($B521-Ship_P_N)&lt;=5,D521,NA())</f>
        <v>#N/A</v>
      </c>
      <c r="H521" s="39">
        <f>IF(MOD(94,10)=0,TEXT($B521,"0"),"")</f>
        <v/>
      </c>
    </row>
    <row r="522" spans="2:8" ht="17" customHeight="1">
      <c r="B522" s="50">
        <v>1150</v>
      </c>
      <c r="C522" s="37">
        <f>((Ship_NH3Fuel*$B522+Ship_PilotN*Ship_P_VLSFO)-Ship_FixedL)/Ship_BOG</f>
        <v>6.14751420486116</v>
      </c>
      <c r="D522" s="37">
        <f>((Ship_NH3Fuel*$B522+Ship_PilotN*Ship_P_VLSFO)*Ship_ScaleN-Ship_FixedL)/Ship_BOG</f>
        <v>3.46690382424979</v>
      </c>
      <c r="E522" s="37">
        <f>Ship_SW</f>
        <v>1.75609756097561</v>
      </c>
      <c r="F522" s="37" t="e">
        <f>IF(ABS($B522-Ship_P_N)&lt;=5,C522,NA())</f>
        <v>#N/A</v>
      </c>
      <c r="G522" s="37" t="e">
        <f>IF(ABS($B522-Ship_P_N)&lt;=5,D522,NA())</f>
        <v>#N/A</v>
      </c>
      <c r="H522" s="39">
        <f>IF(MOD(95,10)=0,TEXT($B522,"0"),"")</f>
        <v/>
      </c>
    </row>
    <row r="523" spans="2:8" ht="17" customHeight="1">
      <c r="B523" s="50">
        <v>1160</v>
      </c>
      <c r="C523" s="37">
        <f>((Ship_NH3Fuel*$B523+Ship_PilotN*Ship_P_VLSFO)-Ship_FixedL)/Ship_BOG</f>
        <v>6.20297199144763</v>
      </c>
      <c r="D523" s="37">
        <f>((Ship_NH3Fuel*$B523+Ship_PilotN*Ship_P_VLSFO)*Ship_ScaleN-Ship_FixedL)/Ship_BOG</f>
        <v>3.49933876118195</v>
      </c>
      <c r="E523" s="37">
        <f>Ship_SW</f>
        <v>1.75609756097561</v>
      </c>
      <c r="F523" s="37" t="e">
        <f>IF(ABS($B523-Ship_P_N)&lt;=5,C523,NA())</f>
        <v>#N/A</v>
      </c>
      <c r="G523" s="37" t="e">
        <f>IF(ABS($B523-Ship_P_N)&lt;=5,D523,NA())</f>
        <v>#N/A</v>
      </c>
      <c r="H523" s="39">
        <f>IF(MOD(96,10)=0,TEXT($B523,"0"),"")</f>
        <v/>
      </c>
    </row>
    <row r="524" spans="2:8" ht="17" customHeight="1">
      <c r="B524" s="50">
        <v>1170</v>
      </c>
      <c r="C524" s="37">
        <f>((Ship_NH3Fuel*$B524+Ship_PilotN*Ship_P_VLSFO)-Ship_FixedL)/Ship_BOG</f>
        <v>6.25842977803411</v>
      </c>
      <c r="D524" s="37">
        <f>((Ship_NH3Fuel*$B524+Ship_PilotN*Ship_P_VLSFO)*Ship_ScaleN-Ship_FixedL)/Ship_BOG</f>
        <v>3.53177369811411</v>
      </c>
      <c r="E524" s="37">
        <f>Ship_SW</f>
        <v>1.75609756097561</v>
      </c>
      <c r="F524" s="37" t="e">
        <f>IF(ABS($B524-Ship_P_N)&lt;=5,C524,NA())</f>
        <v>#N/A</v>
      </c>
      <c r="G524" s="37" t="e">
        <f>IF(ABS($B524-Ship_P_N)&lt;=5,D524,NA())</f>
        <v>#N/A</v>
      </c>
      <c r="H524" s="39">
        <f>IF(MOD(97,10)=0,TEXT($B524,"0"),"")</f>
        <v/>
      </c>
    </row>
    <row r="525" spans="2:8" ht="17" customHeight="1">
      <c r="B525" s="50">
        <v>1180</v>
      </c>
      <c r="C525" s="37">
        <f>((Ship_NH3Fuel*$B525+Ship_PilotN*Ship_P_VLSFO)-Ship_FixedL)/Ship_BOG</f>
        <v>6.31388756462059</v>
      </c>
      <c r="D525" s="37">
        <f>((Ship_NH3Fuel*$B525+Ship_PilotN*Ship_P_VLSFO)*Ship_ScaleN-Ship_FixedL)/Ship_BOG</f>
        <v>3.56420863504627</v>
      </c>
      <c r="E525" s="37">
        <f>Ship_SW</f>
        <v>1.75609756097561</v>
      </c>
      <c r="F525" s="37" t="e">
        <f>IF(ABS($B525-Ship_P_N)&lt;=5,C525,NA())</f>
        <v>#N/A</v>
      </c>
      <c r="G525" s="37" t="e">
        <f>IF(ABS($B525-Ship_P_N)&lt;=5,D525,NA())</f>
        <v>#N/A</v>
      </c>
      <c r="H525" s="39">
        <f>IF(MOD(98,10)=0,TEXT($B525,"0"),"")</f>
        <v/>
      </c>
    </row>
    <row r="526" spans="2:8" ht="17" customHeight="1">
      <c r="B526" s="50">
        <v>1190</v>
      </c>
      <c r="C526" s="37">
        <f>((Ship_NH3Fuel*$B526+Ship_PilotN*Ship_P_VLSFO)-Ship_FixedL)/Ship_BOG</f>
        <v>6.36934535120707</v>
      </c>
      <c r="D526" s="37">
        <f>((Ship_NH3Fuel*$B526+Ship_PilotN*Ship_P_VLSFO)*Ship_ScaleN-Ship_FixedL)/Ship_BOG</f>
        <v>3.59664357197843</v>
      </c>
      <c r="E526" s="37">
        <f>Ship_SW</f>
        <v>1.75609756097561</v>
      </c>
      <c r="F526" s="37" t="e">
        <f>IF(ABS($B526-Ship_P_N)&lt;=5,C526,NA())</f>
        <v>#N/A</v>
      </c>
      <c r="G526" s="37" t="e">
        <f>IF(ABS($B526-Ship_P_N)&lt;=5,D526,NA())</f>
        <v>#N/A</v>
      </c>
      <c r="H526" s="39">
        <f>IF(MOD(99,10)=0,TEXT($B526,"0"),"")</f>
        <v/>
      </c>
    </row>
    <row r="527" spans="2:8" ht="17" customHeight="1">
      <c r="B527" s="50">
        <v>1200</v>
      </c>
      <c r="C527" s="37">
        <f>((Ship_NH3Fuel*$B527+Ship_PilotN*Ship_P_VLSFO)-Ship_FixedL)/Ship_BOG</f>
        <v>6.42480313779354</v>
      </c>
      <c r="D527" s="37">
        <f>((Ship_NH3Fuel*$B527+Ship_PilotN*Ship_P_VLSFO)*Ship_ScaleN-Ship_FixedL)/Ship_BOG</f>
        <v>3.62907850891059</v>
      </c>
      <c r="E527" s="37">
        <f>Ship_SW</f>
        <v>1.75609756097561</v>
      </c>
      <c r="F527" s="37" t="e">
        <f>IF(ABS($B527-Ship_P_N)&lt;=5,C527,NA())</f>
        <v>#N/A</v>
      </c>
      <c r="G527" s="37" t="e">
        <f>IF(ABS($B527-Ship_P_N)&lt;=5,D527,NA())</f>
        <v>#N/A</v>
      </c>
      <c r="H527" s="39" t="str">
        <f>IF(MOD(100,10)=0,TEXT($B527,"0"),"")</f>
        <v>1200</v>
      </c>
    </row>
    <row r="529" spans="2:13" ht="17" customHeight="1">
      <c r="B529" s="7" t="s">
        <v>131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 spans="2:13" ht="17" customHeight="1">
      <c r="B530" s="6" t="s">
        <v>132</v>
      </c>
    </row>
    <row r="531" spans="2:13" ht="17" customHeight="1">
      <c r="B531" s="6" t="s">
        <v>133</v>
      </c>
    </row>
    <row r="532" spans="2:13" ht="17" customHeight="1">
      <c r="B532" s="6" t="s">
        <v>134</v>
      </c>
    </row>
    <row r="533" spans="2:13" ht="17" customHeight="1">
      <c r="B533" s="6" t="s">
        <v>135</v>
      </c>
    </row>
    <row r="534" spans="2:13" ht="17" customHeight="1">
      <c r="B534" s="6" t="s">
        <v>136</v>
      </c>
    </row>
    <row r="535" spans="2:13" ht="17" customHeight="1">
      <c r="B535" s="6" t="s">
        <v>137</v>
      </c>
    </row>
    <row r="536" spans="2:13" ht="17" customHeight="1">
      <c r="B536" s="6" t="s">
        <v>138</v>
      </c>
    </row>
  </sheetData>
  <mergeCells count="7">
    <mergeCell ref="B2:P2"/>
    <mergeCell ref="B3:P3"/>
    <mergeCell ref="B4:P4"/>
    <mergeCell ref="B5:P5"/>
    <mergeCell ref="B6:P6"/>
    <mergeCell ref="C40:D40"/>
    <mergeCell ref="I39:T41"/>
  </mergeCells>
  <dataValidations count="1">
    <dataValidation type="list" allowBlank="1" showInputMessage="1" showErrorMessage="1" errorTitle="Pick from the list" error="Choose one of the listed options." sqref="C40">
      <formula1>"Per ship-day,Per tonne H2 carried"</formula1>
    </dataValidation>
  </dataValidations>
  <pageMargins left="0.7" right="0.7" top="0.75" bottom="0.75" header="0.3" footer="0.3"/>
  <pageSetup paperSize="8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77D6"/>
    <pageSetUpPr fitToPage="1"/>
  </sheetPr>
  <dimension ref="B1:Q108"/>
  <sheetViews>
    <sheetView showGridLines="0" zoomScale="90" zoomScaleNormal="90" workbookViewId="0"/>
  </sheetViews>
  <sheetFormatPr defaultRowHeight="17" customHeight="1"/>
  <cols>
    <col min="1" max="1" width="2.7109375" customWidth="1"/>
    <col min="2" max="2" width="42.7109375" customWidth="1"/>
    <col min="3" max="31" width="14.7109375" customWidth="1"/>
  </cols>
  <sheetData>
    <row r="1" spans="2:16" ht="17" customHeight="1">
      <c r="B1" s="1" t="s">
        <v>0</v>
      </c>
    </row>
    <row r="2" spans="2:16" ht="30" customHeight="1">
      <c r="B2" s="2" t="s">
        <v>277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6" customHeight="1">
      <c r="B3" s="3" t="s">
        <v>278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34" customHeight="1">
      <c r="B4" s="4" t="s">
        <v>279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" customHeight="1">
      <c r="B5" s="5" t="s">
        <v>280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ht="17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spans="2:16" ht="17" customHeight="1">
      <c r="B8" s="7" t="s">
        <v>6</v>
      </c>
      <c r="C8" s="8"/>
      <c r="D8" s="8"/>
      <c r="E8" s="8"/>
      <c r="F8" s="8"/>
      <c r="G8" s="8"/>
    </row>
    <row r="9" spans="2:16" ht="17" customHeight="1">
      <c r="B9" s="9" t="s">
        <v>281</v>
      </c>
      <c r="C9" s="14">
        <f>Dn_H2L/1000</f>
        <v>2832</v>
      </c>
      <c r="D9" s="11" t="s">
        <v>155</v>
      </c>
    </row>
    <row r="10" spans="2:16" ht="17" customHeight="1">
      <c r="B10" s="9" t="s">
        <v>282</v>
      </c>
      <c r="C10" s="14">
        <f>Dn_H2NG/1000</f>
        <v>4196.92307692308</v>
      </c>
      <c r="D10" s="11" t="s">
        <v>155</v>
      </c>
    </row>
    <row r="11" spans="2:16" ht="17" customHeight="1">
      <c r="B11" s="9" t="s">
        <v>283</v>
      </c>
      <c r="C11" s="14">
        <f>Dn_H2CL/1000</f>
        <v>3788.88888888889</v>
      </c>
      <c r="D11" s="11" t="s">
        <v>155</v>
      </c>
    </row>
    <row r="12" spans="2:16" ht="17" customHeight="1">
      <c r="B12" s="9" t="s">
        <v>284</v>
      </c>
      <c r="C12" s="13">
        <f>Dn_VRg</f>
        <v>142.398458344068</v>
      </c>
      <c r="D12" s="11" t="str">
        <f>Dn_Unit</f>
        <v>MWh</v>
      </c>
      <c r="E12" s="6" t="str">
        <f>TEXT(Dn_RegasPerKg/(Ship_LHV_H2/3.6)*100,"0.00")&amp;" % of delivered H2 LHV"</f>
        <v>0.15 % of delivered H2 LHV</v>
      </c>
    </row>
    <row r="13" spans="2:16" ht="17" customHeight="1">
      <c r="B13" s="9" t="s">
        <v>285</v>
      </c>
      <c r="C13" s="13">
        <f>Dn_VNG</f>
        <v>35928.7047533947</v>
      </c>
      <c r="D13" s="11" t="str">
        <f>Dn_Unit</f>
        <v>MWh</v>
      </c>
      <c r="E13" s="6" t="str">
        <f>TEXT(Dn_TotNG/Dn_H2NG/(Ship_LHV_H2/3.6)*100,"0.0")&amp;" % of delivered H2 LHV"</f>
        <v>25.7 % of delivered H2 LHV</v>
      </c>
    </row>
    <row r="14" spans="2:16" ht="17" customHeight="1">
      <c r="B14" s="9" t="s">
        <v>286</v>
      </c>
      <c r="C14" s="13">
        <f>Dn_VCL</f>
        <v>32437.2922177821</v>
      </c>
      <c r="D14" s="11" t="str">
        <f>Dn_Unit</f>
        <v>MWh</v>
      </c>
      <c r="E14" s="6" t="str">
        <f>TEXT(Dn_TotCL/Dn_H2CL/(Ship_LHV_H2/3.6)*100,"0.0")&amp;" % of delivered H2 LHV"</f>
        <v>25.7 % of delivered H2 LHV</v>
      </c>
    </row>
    <row r="15" spans="2:16" ht="17" customHeight="1">
      <c r="B15" s="9" t="s">
        <v>287</v>
      </c>
      <c r="C15" s="14">
        <f>(Dn_TotNG/Dn_H2NG)/Dn_RegasPerKg</f>
        <v>170.254466113474</v>
      </c>
      <c r="D15" s="11" t="s">
        <v>153</v>
      </c>
    </row>
    <row r="17" spans="2:15" ht="17" customHeight="1">
      <c r="B17" s="7" t="s">
        <v>163</v>
      </c>
      <c r="C17" s="8"/>
      <c r="D17" s="8"/>
      <c r="E17" s="8"/>
      <c r="F17" s="8"/>
      <c r="G17" s="8"/>
    </row>
    <row r="18" spans="2:15" ht="17" customHeight="1">
      <c r="B18" s="9" t="s">
        <v>26</v>
      </c>
      <c r="C18" s="16">
        <f>Ship_Vol</f>
        <v>40000</v>
      </c>
      <c r="D18" s="11" t="s">
        <v>27</v>
      </c>
      <c r="E18" s="6" t="s">
        <v>164</v>
      </c>
    </row>
    <row r="19" spans="2:15" ht="17" customHeight="1">
      <c r="B19" s="9" t="s">
        <v>40</v>
      </c>
      <c r="C19" s="17">
        <f>Ship_Rho_L</f>
        <v>70.8</v>
      </c>
      <c r="D19" s="11" t="s">
        <v>41</v>
      </c>
      <c r="E19" s="6" t="s">
        <v>164</v>
      </c>
    </row>
    <row r="20" spans="2:15" ht="17" customHeight="1">
      <c r="B20" s="9" t="s">
        <v>56</v>
      </c>
      <c r="C20" s="16">
        <f>Ship_Rho_N</f>
        <v>682</v>
      </c>
      <c r="D20" s="11" t="s">
        <v>41</v>
      </c>
      <c r="E20" s="6" t="s">
        <v>164</v>
      </c>
    </row>
    <row r="21" spans="2:15" ht="17" customHeight="1">
      <c r="B21" s="9" t="s">
        <v>54</v>
      </c>
      <c r="C21" s="17">
        <f>Ship_LHV_N</f>
        <v>18.6</v>
      </c>
      <c r="D21" s="11" t="s">
        <v>30</v>
      </c>
      <c r="E21" s="6" t="s">
        <v>164</v>
      </c>
    </row>
    <row r="22" spans="2:15" ht="17" customHeight="1">
      <c r="B22" s="7" t="s">
        <v>288</v>
      </c>
      <c r="C22" s="8"/>
      <c r="D22" s="8"/>
      <c r="E22" s="8"/>
      <c r="F22" s="8"/>
      <c r="G22" s="8"/>
    </row>
    <row r="23" spans="2:15" ht="17" customHeight="1">
      <c r="B23" s="9" t="s">
        <v>289</v>
      </c>
      <c r="C23" s="18">
        <v>3.8</v>
      </c>
      <c r="D23" s="11" t="s">
        <v>30</v>
      </c>
      <c r="E23" s="6" t="s">
        <v>290</v>
      </c>
    </row>
    <row r="24" spans="2:15" ht="17" customHeight="1">
      <c r="B24" s="9" t="s">
        <v>291</v>
      </c>
      <c r="C24" s="12">
        <v>30</v>
      </c>
      <c r="D24" s="11" t="s">
        <v>292</v>
      </c>
      <c r="E24" s="6" t="s">
        <v>293</v>
      </c>
    </row>
    <row r="25" spans="2:15" ht="17" customHeight="1">
      <c r="B25" s="9" t="s">
        <v>294</v>
      </c>
      <c r="C25" s="12">
        <v>70</v>
      </c>
      <c r="D25" s="11" t="s">
        <v>13</v>
      </c>
      <c r="E25" s="6" t="s">
        <v>293</v>
      </c>
    </row>
    <row r="26" spans="2:15" ht="17" customHeight="1">
      <c r="B26" s="9" t="s">
        <v>295</v>
      </c>
      <c r="C26" s="18">
        <v>5</v>
      </c>
      <c r="D26" s="11" t="s">
        <v>296</v>
      </c>
      <c r="E26" s="6" t="s">
        <v>293</v>
      </c>
    </row>
    <row r="27" spans="2:15" ht="17" customHeight="1">
      <c r="B27" s="9" t="s">
        <v>297</v>
      </c>
      <c r="C27" s="19">
        <v>4</v>
      </c>
      <c r="D27" s="11" t="s">
        <v>298</v>
      </c>
      <c r="E27" s="6" t="s">
        <v>293</v>
      </c>
    </row>
    <row r="28" spans="2:15" ht="17" customHeight="1">
      <c r="B28" s="9" t="s">
        <v>299</v>
      </c>
      <c r="C28" s="12">
        <v>20</v>
      </c>
      <c r="D28" s="11" t="s">
        <v>300</v>
      </c>
      <c r="E28" s="6" t="s">
        <v>293</v>
      </c>
    </row>
    <row r="29" spans="2:15" ht="17" customHeight="1">
      <c r="B29" s="9" t="s">
        <v>301</v>
      </c>
      <c r="C29" s="12">
        <v>75</v>
      </c>
      <c r="D29" s="11" t="s">
        <v>13</v>
      </c>
      <c r="E29" s="6" t="s">
        <v>293</v>
      </c>
    </row>
    <row r="30" spans="2:15" ht="17" customHeight="1">
      <c r="B30" s="7" t="s">
        <v>302</v>
      </c>
      <c r="C30" s="8"/>
      <c r="D30" s="8"/>
      <c r="E30" s="8"/>
      <c r="F30" s="8"/>
      <c r="G30" s="8"/>
      <c r="I30" s="45" t="str">
        <f>Dn_Mode</f>
        <v>Why the two cracker bars differ per cargo: per kg H2 both modes fire the same 1.6 kg NH3-eq = 29.8 MJ. The clean-fuel mode burns more of the cargo itself, so the same 27,280 t NH3 yields 3,789 t H2 instead of 4,197 t. The gap is the feed-rate ratio 1.108, not an efficiency gain.</v>
      </c>
      <c r="J30" s="46"/>
      <c r="K30" s="46"/>
      <c r="L30" s="46"/>
      <c r="M30" s="46"/>
      <c r="N30" s="46"/>
      <c r="O30" s="46"/>
    </row>
    <row r="31" spans="2:15" ht="17" customHeight="1">
      <c r="B31" s="9" t="s">
        <v>303</v>
      </c>
      <c r="C31" s="18">
        <v>6.5</v>
      </c>
      <c r="D31" s="11" t="s">
        <v>178</v>
      </c>
      <c r="E31" s="6" t="s">
        <v>37</v>
      </c>
      <c r="I31" s="46"/>
      <c r="J31" s="46"/>
      <c r="K31" s="46"/>
      <c r="L31" s="46"/>
      <c r="M31" s="46"/>
      <c r="N31" s="46"/>
      <c r="O31" s="46"/>
    </row>
    <row r="32" spans="2:15" ht="17" customHeight="1">
      <c r="B32" s="9" t="s">
        <v>304</v>
      </c>
      <c r="C32" s="18">
        <v>7.2</v>
      </c>
      <c r="D32" s="11" t="s">
        <v>178</v>
      </c>
      <c r="E32" s="6" t="s">
        <v>37</v>
      </c>
      <c r="I32" s="46"/>
      <c r="J32" s="46"/>
      <c r="K32" s="46"/>
      <c r="L32" s="46"/>
      <c r="M32" s="46"/>
      <c r="N32" s="46"/>
      <c r="O32" s="46"/>
    </row>
    <row r="33" spans="2:15" ht="17" customHeight="1">
      <c r="B33" s="9" t="s">
        <v>177</v>
      </c>
      <c r="C33" s="19">
        <v>5.6</v>
      </c>
      <c r="D33" s="11" t="s">
        <v>178</v>
      </c>
      <c r="E33" s="6" t="s">
        <v>179</v>
      </c>
      <c r="I33" s="46"/>
      <c r="J33" s="46"/>
      <c r="K33" s="46"/>
      <c r="L33" s="46"/>
      <c r="M33" s="46"/>
      <c r="N33" s="46"/>
      <c r="O33" s="46"/>
    </row>
    <row r="34" spans="2:15" ht="17" customHeight="1">
      <c r="B34" s="9" t="s">
        <v>305</v>
      </c>
      <c r="C34" s="19">
        <v>0.29</v>
      </c>
      <c r="D34" s="11" t="s">
        <v>148</v>
      </c>
      <c r="E34" s="6" t="s">
        <v>37</v>
      </c>
    </row>
    <row r="35" spans="2:15" ht="17" customHeight="1">
      <c r="B35" s="9" t="s">
        <v>306</v>
      </c>
      <c r="C35" s="12">
        <v>100000</v>
      </c>
      <c r="D35" s="11" t="s">
        <v>307</v>
      </c>
      <c r="E35" s="6" t="s">
        <v>308</v>
      </c>
    </row>
    <row r="36" spans="2:15" ht="17" customHeight="1">
      <c r="B36" s="7" t="s">
        <v>309</v>
      </c>
      <c r="C36" s="8"/>
      <c r="D36" s="8"/>
      <c r="E36" s="8"/>
      <c r="F36" s="8"/>
      <c r="G36" s="8"/>
    </row>
    <row r="37" spans="2:15" ht="17" customHeight="1">
      <c r="B37" s="9" t="s">
        <v>310</v>
      </c>
      <c r="C37" s="10" t="s">
        <v>311</v>
      </c>
      <c r="D37" s="11" t="s">
        <v>66</v>
      </c>
      <c r="E37" s="6" t="s">
        <v>67</v>
      </c>
    </row>
    <row r="38" spans="2:15" ht="17" customHeight="1">
      <c r="B38" s="9" t="s">
        <v>312</v>
      </c>
      <c r="C38" s="12">
        <v>5</v>
      </c>
      <c r="D38" s="11" t="s">
        <v>189</v>
      </c>
      <c r="E38" s="6" t="s">
        <v>313</v>
      </c>
    </row>
    <row r="39" spans="2:15" ht="17" customHeight="1">
      <c r="B39" s="9" t="s">
        <v>314</v>
      </c>
      <c r="C39" s="19">
        <v>0.1</v>
      </c>
      <c r="D39" s="11" t="s">
        <v>8</v>
      </c>
      <c r="E39" s="6" t="s">
        <v>315</v>
      </c>
    </row>
    <row r="40" spans="2:15" ht="17" customHeight="1">
      <c r="B40" s="9" t="s">
        <v>316</v>
      </c>
      <c r="C40" s="19">
        <v>3.94</v>
      </c>
      <c r="D40" s="11" t="s">
        <v>172</v>
      </c>
      <c r="E40" s="6" t="s">
        <v>317</v>
      </c>
    </row>
    <row r="41" spans="2:15" ht="17" customHeight="1">
      <c r="B41" s="9" t="s">
        <v>318</v>
      </c>
      <c r="C41" s="19">
        <v>0.05</v>
      </c>
      <c r="D41" s="11" t="s">
        <v>8</v>
      </c>
      <c r="E41" s="6" t="s">
        <v>182</v>
      </c>
    </row>
    <row r="42" spans="2:15" ht="17" customHeight="1">
      <c r="B42" s="9" t="s">
        <v>319</v>
      </c>
      <c r="C42" s="19">
        <v>0.25</v>
      </c>
      <c r="D42" s="11" t="s">
        <v>172</v>
      </c>
      <c r="E42" s="6" t="s">
        <v>182</v>
      </c>
    </row>
    <row r="43" spans="2:15" ht="17" customHeight="1">
      <c r="B43" s="7" t="s">
        <v>195</v>
      </c>
      <c r="C43" s="8"/>
      <c r="D43" s="8"/>
      <c r="E43" s="8"/>
      <c r="F43" s="8"/>
      <c r="G43" s="8"/>
    </row>
    <row r="44" spans="2:15" ht="17" customHeight="1">
      <c r="B44" s="9" t="s">
        <v>196</v>
      </c>
      <c r="C44" s="10" t="s">
        <v>197</v>
      </c>
      <c r="D44" s="11" t="s">
        <v>66</v>
      </c>
      <c r="E44" s="6" t="s">
        <v>67</v>
      </c>
    </row>
    <row r="46" spans="2:15" ht="17" customHeight="1">
      <c r="B46" s="7" t="s">
        <v>198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2:15" ht="17" customHeight="1">
      <c r="B47" s="9" t="s">
        <v>320</v>
      </c>
      <c r="C47" s="51">
        <f>(1/Ship_Rho_L)*Dn_SendP*100000/(Dn_EtaP/100)/3600000</f>
        <v>0.0168146354587033</v>
      </c>
      <c r="D47" s="11" t="s">
        <v>160</v>
      </c>
      <c r="E47" s="6" t="s">
        <v>321</v>
      </c>
    </row>
    <row r="48" spans="2:15" ht="17" customHeight="1">
      <c r="B48" s="9" t="s">
        <v>322</v>
      </c>
      <c r="C48" s="20">
        <f>Dn_Duty*1000/(Dn_Cp*Dn_DT)</f>
        <v>190</v>
      </c>
      <c r="D48" s="11" t="s">
        <v>323</v>
      </c>
      <c r="E48" s="6" t="s">
        <v>324</v>
      </c>
    </row>
    <row r="49" spans="2:5" ht="17" customHeight="1">
      <c r="B49" s="9" t="s">
        <v>325</v>
      </c>
      <c r="C49" s="51">
        <f>Dn_SwKg*9.81*Dn_Head/(Dn_EtaSW/100)/3600000</f>
        <v>0.0138066666666667</v>
      </c>
      <c r="D49" s="11" t="s">
        <v>160</v>
      </c>
      <c r="E49" s="6" t="s">
        <v>326</v>
      </c>
    </row>
    <row r="50" spans="2:5" ht="17" customHeight="1">
      <c r="B50" s="9" t="s">
        <v>327</v>
      </c>
      <c r="C50" s="51">
        <f>IF(Dn_Tank="Yes",(1-(1-Dn_BorL/100)^Dn_Hold)*Dn_SecL,0)</f>
        <v>0.0196606393803039</v>
      </c>
      <c r="D50" s="11" t="s">
        <v>160</v>
      </c>
    </row>
    <row r="51" spans="2:5" ht="17" customHeight="1">
      <c r="B51" s="9" t="s">
        <v>328</v>
      </c>
      <c r="C51" s="51">
        <f>Dn_PumpL+Dn_PumpSW+Dn_TankL</f>
        <v>0.0502819415056738</v>
      </c>
      <c r="D51" s="11" t="s">
        <v>160</v>
      </c>
    </row>
    <row r="52" spans="2:5" ht="17" customHeight="1">
      <c r="B52" s="9" t="s">
        <v>329</v>
      </c>
      <c r="C52" s="20">
        <f>IF(Dn_Tank="Yes",Ship_CargoN*(1-(1-Dn_BorN/100)^Dn_Hold)*Dn_SecN,0)</f>
        <v>17032.9585228673</v>
      </c>
      <c r="D52" s="11" t="s">
        <v>206</v>
      </c>
    </row>
    <row r="53" spans="2:5" ht="17" customHeight="1">
      <c r="B53" s="9" t="s">
        <v>330</v>
      </c>
      <c r="C53" s="47">
        <f>Ship_LHV_N/3.6</f>
        <v>5.16666666666667</v>
      </c>
      <c r="D53" s="11" t="s">
        <v>331</v>
      </c>
    </row>
    <row r="54" spans="2:5" ht="17" customHeight="1">
      <c r="B54" s="9" t="s">
        <v>332</v>
      </c>
      <c r="C54" s="20">
        <f>Ship_CargoL</f>
        <v>2832000</v>
      </c>
      <c r="D54" s="11" t="s">
        <v>70</v>
      </c>
    </row>
    <row r="55" spans="2:5" ht="17" customHeight="1">
      <c r="B55" s="9" t="s">
        <v>333</v>
      </c>
      <c r="C55" s="20">
        <f>Ship_CargoN/Dn_FeedNG</f>
        <v>4196923.07692308</v>
      </c>
      <c r="D55" s="11" t="s">
        <v>70</v>
      </c>
      <c r="E55" s="6" t="s">
        <v>334</v>
      </c>
    </row>
    <row r="56" spans="2:5" ht="17" customHeight="1">
      <c r="B56" s="9" t="s">
        <v>335</v>
      </c>
      <c r="C56" s="20">
        <f>Ship_CargoN/Dn_FeedCl</f>
        <v>3788888.88888889</v>
      </c>
      <c r="D56" s="11" t="s">
        <v>70</v>
      </c>
      <c r="E56" s="6" t="s">
        <v>334</v>
      </c>
    </row>
    <row r="57" spans="2:5" ht="17" customHeight="1">
      <c r="B57" s="9" t="s">
        <v>336</v>
      </c>
      <c r="C57" s="20">
        <f>Dn_RegasPerKg*Ship_CargoL</f>
        <v>142398.458344068</v>
      </c>
      <c r="D57" s="11" t="s">
        <v>206</v>
      </c>
    </row>
    <row r="58" spans="2:5" ht="17" customHeight="1">
      <c r="B58" s="9" t="s">
        <v>337</v>
      </c>
      <c r="C58" s="20">
        <f>(Dn_FeedNG-Dn_Stoich)*Dn_H2NG*Dn_kN+(Dn_FeedCl-Dn_FeedNG)*Dn_H2NG*Dn_kN+Dn_Elec*Dn_H2NG+Dn_TankN</f>
        <v>35928704.7533947</v>
      </c>
      <c r="D58" s="11" t="s">
        <v>206</v>
      </c>
      <c r="E58" s="6" t="s">
        <v>338</v>
      </c>
    </row>
    <row r="59" spans="2:5" ht="17" customHeight="1">
      <c r="B59" s="9" t="s">
        <v>339</v>
      </c>
      <c r="C59" s="20">
        <f>(Dn_FeedCl-Dn_Stoich)*Dn_H2CL*Dn_kN+Dn_Elec*Dn_H2CL+Dn_TankN</f>
        <v>32437292.2177821</v>
      </c>
      <c r="D59" s="11" t="s">
        <v>206</v>
      </c>
      <c r="E59" s="6" t="s">
        <v>340</v>
      </c>
    </row>
    <row r="60" spans="2:5" ht="17" customHeight="1">
      <c r="B60" s="9" t="s">
        <v>215</v>
      </c>
      <c r="C60" s="21" t="str">
        <f>IF(Dn_Basis="Per kg H2 (kWh)","kWh/kg H2","MWh")</f>
        <v>MWh</v>
      </c>
      <c r="D60" s="11" t="s">
        <v>66</v>
      </c>
    </row>
    <row r="61" spans="2:5" ht="17" customHeight="1">
      <c r="B61" s="9" t="s">
        <v>341</v>
      </c>
      <c r="C61" s="20">
        <f>IF(Dn_Basis="Per kg H2 (kWh)",Dn_H2L,1000)</f>
        <v>1000</v>
      </c>
      <c r="D61" s="11" t="s">
        <v>66</v>
      </c>
    </row>
    <row r="62" spans="2:5" ht="17" customHeight="1">
      <c r="B62" s="9" t="s">
        <v>342</v>
      </c>
      <c r="C62" s="20">
        <f>IF(Dn_Basis="Per kg H2 (kWh)",Dn_H2NG,1000)</f>
        <v>1000</v>
      </c>
      <c r="D62" s="11" t="s">
        <v>66</v>
      </c>
    </row>
    <row r="63" spans="2:5" ht="17" customHeight="1">
      <c r="B63" s="9" t="s">
        <v>343</v>
      </c>
      <c r="C63" s="20">
        <f>IF(Dn_Basis="Per kg H2 (kWh)",Dn_H2CL,1000)</f>
        <v>1000</v>
      </c>
      <c r="D63" s="11" t="s">
        <v>66</v>
      </c>
    </row>
    <row r="64" spans="2:5" ht="17" customHeight="1">
      <c r="B64" s="9" t="s">
        <v>344</v>
      </c>
      <c r="C64" s="47">
        <f>Dn_TotL/Dn_DivRg</f>
        <v>142.398458344068</v>
      </c>
      <c r="D64" s="11" t="str">
        <f>Dn_Unit</f>
        <v>MWh</v>
      </c>
    </row>
    <row r="65" spans="2:13" ht="17" customHeight="1">
      <c r="B65" s="9" t="s">
        <v>345</v>
      </c>
      <c r="C65" s="22">
        <f>Dn_TotNG/Dn_DivNG</f>
        <v>35928.7047533947</v>
      </c>
      <c r="D65" s="11" t="str">
        <f>Dn_Unit</f>
        <v>MWh</v>
      </c>
    </row>
    <row r="66" spans="2:13" ht="17" customHeight="1">
      <c r="B66" s="9" t="s">
        <v>346</v>
      </c>
      <c r="C66" s="22">
        <f>Dn_TotCL/Dn_DivCL</f>
        <v>32437.2922177821</v>
      </c>
      <c r="D66" s="11" t="str">
        <f>Dn_Unit</f>
        <v>MWh</v>
      </c>
    </row>
    <row r="68" spans="2:13" ht="17" customHeight="1">
      <c r="B68" s="23" t="str">
        <f>"Cracking takes about "&amp;TEXT(Dn_VNG/Dn_VRg,"0")&amp;"× the energy of regas"&amp;IF(Dn_Basis="Per kg H2 (kWh)"," per kg H2"," per cargo")</f>
        <v>Cracking takes about 252× the energy of regas per cargo</v>
      </c>
    </row>
    <row r="69" spans="2:13" ht="17" customHeight="1">
      <c r="B69" s="23" t="str">
        <f>"LH2 regas needs "&amp;TEXT(Dn_VRg,IF(Dn_VRg&lt;0.1,"0.000",IF(Dn_VRg&lt;100,"0.0","#,##0")))&amp;" "&amp;Dn_Unit&amp;", all of it electricity"</f>
        <v>LH2 regas needs 142 MWh, all of it electricity</v>
      </c>
    </row>
    <row r="70" spans="2:13" ht="17" customHeight="1">
      <c r="B70" s="23" t="str">
        <f>IF(Dn_Basis="Per kg H2 (kWh)","Energy, kWh per kg H2 delivered","Energy per 40,000 m3 cargo, MWh")</f>
        <v>Energy per 40,000 m3 cargo, MWh</v>
      </c>
    </row>
    <row r="71" spans="2:13" ht="17" customHeight="1">
      <c r="B71" s="23" t="str">
        <f>IF(Dn_Basis="Per kg H2 (kWh)","kWh per kg H2","MWh per cargo")</f>
        <v>MWh per cargo</v>
      </c>
    </row>
    <row r="72" spans="2:13" ht="17" customHeight="1">
      <c r="B72" s="23" t="str">
        <f>"Why the two cracker bars differ per cargo: per kg H2 both modes fire the same "&amp;TEXT(Dn_FeedCl-Dn_Stoich,"0.0")&amp;" kg NH3-eq = "&amp;TEXT((Dn_FeedCl-Dn_Stoich)*Ship_LHV_N,"0.0")&amp;" MJ. The clean-fuel mode burns more of the cargo itself, so the same "&amp;TEXT(Ship_CargoN/1000,"#,##0")&amp;" t NH3 yields "&amp;TEXT(Dn_H2CL/1000,"#,##0")&amp;" t H2 instead of "&amp;TEXT(Dn_H2NG/1000,"#,##0")&amp;" t. The gap is the feed-rate ratio "&amp;TEXT(Dn_FeedCl/Dn_FeedNG,"0.000")&amp;", not an efficiency gain."</f>
        <v>Why the two cracker bars differ per cargo: per kg H2 both modes fire the same 1.6 kg NH3-eq = 29.8 MJ. The clean-fuel mode burns more of the cargo itself, so the same 27,280 t NH3 yields 3,789 t H2 instead of 4,197 t. The gap is the feed-rate ratio 1.108, not an efficiency gain.</v>
      </c>
    </row>
    <row r="74" spans="2:13" ht="17" customHeight="1">
      <c r="B74" s="7" t="s">
        <v>347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2:13" ht="30" customHeight="1">
      <c r="B75" s="24" t="s">
        <v>348</v>
      </c>
      <c r="C75" s="25" t="s">
        <v>349</v>
      </c>
      <c r="D75" s="25" t="s">
        <v>103</v>
      </c>
      <c r="E75" s="25" t="s">
        <v>350</v>
      </c>
      <c r="F75" s="25" t="s">
        <v>103</v>
      </c>
      <c r="G75" s="25" t="s">
        <v>351</v>
      </c>
      <c r="H75" s="25" t="s">
        <v>103</v>
      </c>
      <c r="I75" s="25" t="s">
        <v>352</v>
      </c>
      <c r="J75" s="25" t="s">
        <v>103</v>
      </c>
    </row>
    <row r="76" spans="2:13" ht="17" customHeight="1">
      <c r="B76" s="26" t="s">
        <v>353</v>
      </c>
      <c r="C76" s="27">
        <f>(Dn_FeedCl-Dn_FeedNG)*Dn_Annual*1000</f>
        <v>70000000</v>
      </c>
      <c r="D76" s="27">
        <v>70000000</v>
      </c>
      <c r="E76" s="27">
        <f>C76*Ship_LHV_N</f>
        <v>1302000000</v>
      </c>
      <c r="F76" s="27">
        <v>1302000000</v>
      </c>
      <c r="G76" s="33">
        <f>E76/1055.056</f>
        <v>1234057.7182633</v>
      </c>
      <c r="H76" s="33">
        <v>1234057.72</v>
      </c>
      <c r="I76" s="33">
        <f>E76/3600</f>
        <v>361666.666666667</v>
      </c>
      <c r="J76" s="33">
        <v>361666.67</v>
      </c>
    </row>
    <row r="77" spans="2:13" ht="17" customHeight="1">
      <c r="B77" s="26" t="s">
        <v>354</v>
      </c>
      <c r="C77" s="27">
        <f>(Dn_FeedNG-Dn_Stoich)*Dn_Annual*1000</f>
        <v>90000000</v>
      </c>
      <c r="D77" s="27">
        <v>90000000</v>
      </c>
      <c r="E77" s="27">
        <f>C77*Ship_LHV_N</f>
        <v>1674000000</v>
      </c>
      <c r="F77" s="27">
        <v>1674000000</v>
      </c>
      <c r="G77" s="33">
        <f>E77/1055.056</f>
        <v>1586645.6377671</v>
      </c>
      <c r="H77" s="33" t="s">
        <v>90</v>
      </c>
      <c r="I77" s="33">
        <f>E77/3600</f>
        <v>465000</v>
      </c>
      <c r="J77" s="33">
        <v>465000</v>
      </c>
    </row>
    <row r="78" spans="2:13" ht="17" customHeight="1">
      <c r="B78" s="26" t="s">
        <v>355</v>
      </c>
      <c r="C78" s="27" t="s">
        <v>90</v>
      </c>
      <c r="D78" s="27" t="s">
        <v>90</v>
      </c>
      <c r="E78" s="27">
        <f>Dn_Elec*Dn_Annual*1000*3.6</f>
        <v>104400000</v>
      </c>
      <c r="F78" s="27" t="s">
        <v>90</v>
      </c>
      <c r="G78" s="33">
        <f>E78/1055.056</f>
        <v>98952.0935381629</v>
      </c>
      <c r="H78" s="33" t="s">
        <v>90</v>
      </c>
      <c r="I78" s="33">
        <f>Dn_Elec*Dn_Annual*1000/1000</f>
        <v>29000</v>
      </c>
      <c r="J78" s="33" t="s">
        <v>90</v>
      </c>
    </row>
    <row r="79" spans="2:13" ht="17" customHeight="1">
      <c r="B79" s="23" t="str">
        <f>IF(AND(ABS(C76-D76)&lt;1,ABS(C77-D77)&lt;1,Ship_LHV_N=18.6),"Verified: the user table reproduces exactly on a "&amp;TEXT(Dn_Annual,"#,##0")&amp;" t/y H2 basis (MMBtu uses 1,055.056 MJ/MMBtu). Both modes fire the same "&amp;TEXT(Dn_FeedCl-Dn_Stoich,"0.0")&amp;" kg NH3-eq/kg H2 = "&amp;TEXT((Dn_FeedCl-Dn_Stoich)*Ship_LHV_N,"0.0")&amp;" MJ/kg H2.","Inputs differ from the user table basis, so the User columns no longer apply.")</f>
        <v>Verified: the user table reproduces exactly on a 100,000 t/y H2 basis (MMBtu uses 1,055.056 MJ/MMBtu). Both modes fire the same 1.6 kg NH3-eq/kg H2 = 29.8 MJ/kg H2.</v>
      </c>
    </row>
    <row r="81" spans="2:17" ht="17" customHeight="1">
      <c r="B81" s="7" t="s">
        <v>356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2:17" ht="30" customHeight="1">
      <c r="B82" s="24" t="s">
        <v>357</v>
      </c>
      <c r="C82" s="25" t="s">
        <v>358</v>
      </c>
      <c r="D82" s="25" t="s">
        <v>359</v>
      </c>
    </row>
    <row r="83" spans="2:17" ht="17" customHeight="1">
      <c r="B83" s="26" t="s">
        <v>320</v>
      </c>
      <c r="C83" s="52">
        <f>Dn_PumpL</f>
        <v>0.0168146354587033</v>
      </c>
      <c r="D83" s="28">
        <f>Dn_PumpL*Ship_CargoL/1000</f>
        <v>47.6190476190476</v>
      </c>
    </row>
    <row r="84" spans="2:17" ht="17" customHeight="1">
      <c r="B84" s="26" t="s">
        <v>325</v>
      </c>
      <c r="C84" s="52">
        <f>Dn_PumpSW</f>
        <v>0.0138066666666667</v>
      </c>
      <c r="D84" s="28">
        <f>Dn_PumpSW*Ship_CargoL/1000</f>
        <v>39.10048</v>
      </c>
    </row>
    <row r="85" spans="2:17" ht="17" customHeight="1">
      <c r="B85" s="26" t="s">
        <v>360</v>
      </c>
      <c r="C85" s="52">
        <f>Dn_TankL</f>
        <v>0.0196606393803039</v>
      </c>
      <c r="D85" s="28">
        <f>Dn_TankL*Ship_CargoL/1000</f>
        <v>55.6789307250206</v>
      </c>
    </row>
    <row r="86" spans="2:17" ht="17" customHeight="1">
      <c r="B86" s="30" t="s">
        <v>239</v>
      </c>
      <c r="C86" s="53">
        <f>SUM(C83:C85)</f>
        <v>0.0502819415056738</v>
      </c>
      <c r="D86" s="31">
        <f>SUM(D83:D85)</f>
        <v>142.398458344068</v>
      </c>
    </row>
    <row r="89" spans="2:17" ht="17" customHeight="1">
      <c r="B89" s="7" t="s">
        <v>361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2:17" ht="42" customHeight="1">
      <c r="B90" s="24" t="s">
        <v>251</v>
      </c>
      <c r="C90" s="25" t="s">
        <v>362</v>
      </c>
      <c r="D90" s="25" t="s">
        <v>363</v>
      </c>
      <c r="E90" s="25" t="s">
        <v>305</v>
      </c>
      <c r="F90" s="25" t="s">
        <v>320</v>
      </c>
      <c r="G90" s="25" t="s">
        <v>325</v>
      </c>
      <c r="H90" s="25" t="s">
        <v>360</v>
      </c>
      <c r="I90" s="25" t="s">
        <v>239</v>
      </c>
      <c r="J90" s="25" t="s">
        <v>252</v>
      </c>
      <c r="K90" s="25" t="s">
        <v>364</v>
      </c>
      <c r="L90" s="25" t="s">
        <v>365</v>
      </c>
      <c r="M90" s="25" t="s">
        <v>366</v>
      </c>
      <c r="N90" s="25" t="s">
        <v>367</v>
      </c>
      <c r="O90" s="25" t="s">
        <v>368</v>
      </c>
      <c r="P90" s="25" t="s">
        <v>369</v>
      </c>
      <c r="Q90" s="25" t="s">
        <v>257</v>
      </c>
    </row>
    <row r="91" spans="2:17" ht="17" customHeight="1">
      <c r="B91" s="34" t="s">
        <v>370</v>
      </c>
      <c r="C91" s="35">
        <f>(Dn_FeedCl-Dn_Stoich)*Dn_H2CL*Dn_kN/Dn_DivCL</f>
        <v>31321.4814814815</v>
      </c>
      <c r="D91" s="35">
        <f>0</f>
        <v>0</v>
      </c>
      <c r="E91" s="35">
        <f>Dn_Elec*Dn_H2CL/Dn_DivCL</f>
        <v>1098.77777777778</v>
      </c>
      <c r="F91" s="35">
        <f>0</f>
        <v>0</v>
      </c>
      <c r="G91" s="35">
        <f>0</f>
        <v>0</v>
      </c>
      <c r="H91" s="35">
        <f>Dn_TankN/Dn_DivCL</f>
        <v>17.0329585228673</v>
      </c>
      <c r="I91" s="35">
        <f>SUM(C91:H91)</f>
        <v>32437.2922177821</v>
      </c>
      <c r="J91" s="35">
        <f>0.3*MAX($I$91:$I$93)</f>
        <v>10778.6114260184</v>
      </c>
      <c r="K91" s="35" t="str">
        <f>IF(C91&lt;0.04*MAX($I$91:$I$93),"",TEXT(C91,IF(C91&lt;0.1,"0.000",IF(C91&lt;100,"0.0","#,##0"))))</f>
        <v>31,321</v>
      </c>
      <c r="L91" s="35">
        <f>IF(D91&lt;0.04*MAX($I$91:$I$93),"",TEXT(D91,IF(D91&lt;0.1,"0.000",IF(D91&lt;100,"0.0","#,##0"))))</f>
        <v/>
      </c>
      <c r="M91" s="35">
        <f>IF(E91&lt;0.04*MAX($I$91:$I$93),"",TEXT(E91,IF(E91&lt;0.1,"0.000",IF(E91&lt;100,"0.0","#,##0"))))</f>
        <v/>
      </c>
      <c r="N91" s="35">
        <f>IF(F91&lt;0.04*MAX($I$91:$I$93),"",TEXT(F91,IF(F91&lt;0.1,"0.000",IF(F91&lt;100,"0.0","#,##0"))))</f>
        <v/>
      </c>
      <c r="O91" s="35">
        <f>IF(G91&lt;0.04*MAX($I$91:$I$93),"",TEXT(G91,IF(G91&lt;0.1,"0.000",IF(G91&lt;100,"0.0","#,##0"))))</f>
        <v/>
      </c>
      <c r="P91" s="35">
        <f>IF(H91&lt;0.04*MAX($I$91:$I$93),"",TEXT(H91,IF(H91&lt;0.1,"0.000",IF(H91&lt;100,"0.0","#,##0"))))</f>
        <v/>
      </c>
      <c r="Q91" s="35" t="str">
        <f>TEXT(I91,IF(I91&lt;0.1,"0.000",IF(I91&lt;100,"0.0","#,##0")))&amp;" "&amp;Dn_Unit</f>
        <v>32,437 MWh</v>
      </c>
    </row>
    <row r="92" spans="2:17" ht="17" customHeight="1">
      <c r="B92" s="34" t="s">
        <v>371</v>
      </c>
      <c r="C92" s="35">
        <f>(Dn_FeedNG-Dn_Stoich)*Dn_H2NG*Dn_kN/Dn_DivNG</f>
        <v>19515.6923076923</v>
      </c>
      <c r="D92" s="35">
        <f>(Dn_FeedCl-Dn_FeedNG)*Dn_H2NG*Dn_kN/Dn_DivNG</f>
        <v>15178.8717948718</v>
      </c>
      <c r="E92" s="35">
        <f>Dn_Elec*Dn_H2NG/Dn_DivNG</f>
        <v>1217.10769230769</v>
      </c>
      <c r="F92" s="35">
        <f>0</f>
        <v>0</v>
      </c>
      <c r="G92" s="35">
        <f>0</f>
        <v>0</v>
      </c>
      <c r="H92" s="35">
        <f>Dn_TankN/Dn_DivNG</f>
        <v>17.0329585228673</v>
      </c>
      <c r="I92" s="35">
        <f>SUM(C92:H92)</f>
        <v>35928.7047533947</v>
      </c>
      <c r="J92" s="35">
        <f>0.3*MAX($I$91:$I$93)</f>
        <v>10778.6114260184</v>
      </c>
      <c r="K92" s="35" t="str">
        <f>IF(C92&lt;0.04*MAX($I$91:$I$93),"",TEXT(C92,IF(C92&lt;0.1,"0.000",IF(C92&lt;100,"0.0","#,##0"))))</f>
        <v>19,516</v>
      </c>
      <c r="L92" s="35" t="str">
        <f>IF(D92&lt;0.04*MAX($I$91:$I$93),"",TEXT(D92,IF(D92&lt;0.1,"0.000",IF(D92&lt;100,"0.0","#,##0"))))</f>
        <v>15,179</v>
      </c>
      <c r="M92" s="35">
        <f>IF(E92&lt;0.04*MAX($I$91:$I$93),"",TEXT(E92,IF(E92&lt;0.1,"0.000",IF(E92&lt;100,"0.0","#,##0"))))</f>
        <v/>
      </c>
      <c r="N92" s="35">
        <f>IF(F92&lt;0.04*MAX($I$91:$I$93),"",TEXT(F92,IF(F92&lt;0.1,"0.000",IF(F92&lt;100,"0.0","#,##0"))))</f>
        <v/>
      </c>
      <c r="O92" s="35">
        <f>IF(G92&lt;0.04*MAX($I$91:$I$93),"",TEXT(G92,IF(G92&lt;0.1,"0.000",IF(G92&lt;100,"0.0","#,##0"))))</f>
        <v/>
      </c>
      <c r="P92" s="35">
        <f>IF(H92&lt;0.04*MAX($I$91:$I$93),"",TEXT(H92,IF(H92&lt;0.1,"0.000",IF(H92&lt;100,"0.0","#,##0"))))</f>
        <v/>
      </c>
      <c r="Q92" s="35" t="str">
        <f>TEXT(I92,IF(I92&lt;0.1,"0.000",IF(I92&lt;100,"0.0","#,##0")))&amp;" "&amp;Dn_Unit</f>
        <v>35,929 MWh</v>
      </c>
    </row>
    <row r="93" spans="2:17" ht="17" customHeight="1">
      <c r="B93" s="34" t="s">
        <v>372</v>
      </c>
      <c r="C93" s="35">
        <f>0</f>
        <v>0</v>
      </c>
      <c r="D93" s="35">
        <f>0</f>
        <v>0</v>
      </c>
      <c r="E93" s="35">
        <f>0</f>
        <v>0</v>
      </c>
      <c r="F93" s="35">
        <f>Dn_PumpL*Dn_H2L/Dn_DivRg</f>
        <v>47.6190476190476</v>
      </c>
      <c r="G93" s="35">
        <f>Dn_PumpSW*Dn_H2L/Dn_DivRg</f>
        <v>39.10048</v>
      </c>
      <c r="H93" s="35">
        <f>Dn_TankL*Dn_H2L/Dn_DivRg</f>
        <v>55.6789307250206</v>
      </c>
      <c r="I93" s="35">
        <f>SUM(C93:H93)</f>
        <v>142.398458344068</v>
      </c>
      <c r="J93" s="35">
        <f>0.3*MAX($I$91:$I$93)</f>
        <v>10778.6114260184</v>
      </c>
      <c r="K93" s="35">
        <f>IF(C93&lt;0.04*MAX($I$91:$I$93),"",TEXT(C93,IF(C93&lt;0.1,"0.000",IF(C93&lt;100,"0.0","#,##0"))))</f>
        <v/>
      </c>
      <c r="L93" s="35">
        <f>IF(D93&lt;0.04*MAX($I$91:$I$93),"",TEXT(D93,IF(D93&lt;0.1,"0.000",IF(D93&lt;100,"0.0","#,##0"))))</f>
        <v/>
      </c>
      <c r="M93" s="35">
        <f>IF(E93&lt;0.04*MAX($I$91:$I$93),"",TEXT(E93,IF(E93&lt;0.1,"0.000",IF(E93&lt;100,"0.0","#,##0"))))</f>
        <v/>
      </c>
      <c r="N93" s="35">
        <f>IF(F93&lt;0.04*MAX($I$91:$I$93),"",TEXT(F93,IF(F93&lt;0.1,"0.000",IF(F93&lt;100,"0.0","#,##0"))))</f>
        <v/>
      </c>
      <c r="O93" s="35">
        <f>IF(G93&lt;0.04*MAX($I$91:$I$93),"",TEXT(G93,IF(G93&lt;0.1,"0.000",IF(G93&lt;100,"0.0","#,##0"))))</f>
        <v/>
      </c>
      <c r="P93" s="35">
        <f>IF(H93&lt;0.04*MAX($I$91:$I$93),"",TEXT(H93,IF(H93&lt;0.1,"0.000",IF(H93&lt;100,"0.0","#,##0"))))</f>
        <v/>
      </c>
      <c r="Q93" s="35" t="str">
        <f>TEXT(I93,IF(I93&lt;0.1,"0.000",IF(I93&lt;100,"0.0","#,##0")))&amp;" "&amp;Dn_Unit</f>
        <v>142 MWh</v>
      </c>
    </row>
    <row r="96" spans="2:17" ht="42" customHeight="1">
      <c r="B96" s="24" t="s">
        <v>251</v>
      </c>
      <c r="C96" s="25" t="s">
        <v>320</v>
      </c>
      <c r="D96" s="25" t="s">
        <v>325</v>
      </c>
      <c r="E96" s="25" t="s">
        <v>360</v>
      </c>
      <c r="F96" s="25" t="s">
        <v>239</v>
      </c>
      <c r="G96" s="25" t="s">
        <v>252</v>
      </c>
      <c r="H96" s="25" t="s">
        <v>367</v>
      </c>
      <c r="I96" s="25" t="s">
        <v>368</v>
      </c>
      <c r="J96" s="25" t="s">
        <v>369</v>
      </c>
      <c r="K96" s="25" t="s">
        <v>257</v>
      </c>
    </row>
    <row r="97" spans="2:13" ht="17" customHeight="1">
      <c r="B97" s="34" t="s">
        <v>372</v>
      </c>
      <c r="C97" s="35">
        <f>Dn_PumpL*Dn_H2L/Dn_DivRg</f>
        <v>47.6190476190476</v>
      </c>
      <c r="D97" s="35">
        <f>Dn_PumpSW*Dn_H2L/Dn_DivRg</f>
        <v>39.10048</v>
      </c>
      <c r="E97" s="35">
        <f>Dn_TankL*Dn_H2L/Dn_DivRg</f>
        <v>55.6789307250206</v>
      </c>
      <c r="F97" s="35">
        <f>SUM(C97:E97)</f>
        <v>142.398458344068</v>
      </c>
      <c r="G97" s="35">
        <f>0.3*MAX($F$97:$F$97)</f>
        <v>42.7195375032205</v>
      </c>
      <c r="H97" s="35" t="str">
        <f>IF(C97&lt;0.04*MAX($F$97:$F$97),"",TEXT(C97,IF(C97&lt;0.1,"0.000",IF(C97&lt;100,"0.0","#,##0"))))</f>
        <v>47.6</v>
      </c>
      <c r="I97" s="35" t="str">
        <f>IF(D97&lt;0.04*MAX($F$97:$F$97),"",TEXT(D97,IF(D97&lt;0.1,"0.000",IF(D97&lt;100,"0.0","#,##0"))))</f>
        <v>39.1</v>
      </c>
      <c r="J97" s="35" t="str">
        <f>IF(E97&lt;0.04*MAX($F$97:$F$97),"",TEXT(E97,IF(E97&lt;0.1,"0.000",IF(E97&lt;100,"0.0","#,##0"))))</f>
        <v>55.7</v>
      </c>
      <c r="K97" s="35" t="str">
        <f>TEXT(F97,IF(F97&lt;0.1,"0.000",IF(F97&lt;100,"0.0","#,##0")))&amp;" "&amp;Dn_Unit</f>
        <v>142 MWh</v>
      </c>
    </row>
    <row r="100" spans="2:13" ht="17" customHeight="1">
      <c r="B100" s="7" t="s">
        <v>131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2:13" ht="17" customHeight="1">
      <c r="B101" s="6" t="s">
        <v>373</v>
      </c>
    </row>
    <row r="102" spans="2:13" ht="17" customHeight="1">
      <c r="B102" s="6" t="s">
        <v>374</v>
      </c>
    </row>
    <row r="103" spans="2:13" ht="17" customHeight="1">
      <c r="B103" s="6" t="s">
        <v>375</v>
      </c>
    </row>
    <row r="104" spans="2:13" ht="17" customHeight="1">
      <c r="B104" s="6" t="s">
        <v>376</v>
      </c>
    </row>
    <row r="105" spans="2:13" ht="17" customHeight="1">
      <c r="B105" s="6" t="s">
        <v>377</v>
      </c>
    </row>
    <row r="106" spans="2:13" ht="17" customHeight="1">
      <c r="B106" s="6" t="s">
        <v>378</v>
      </c>
    </row>
    <row r="107" spans="2:13" ht="17" customHeight="1">
      <c r="B107" s="6" t="s">
        <v>379</v>
      </c>
    </row>
    <row r="108" spans="2:13" ht="17" customHeight="1">
      <c r="B108" s="6" t="s">
        <v>380</v>
      </c>
    </row>
  </sheetData>
  <mergeCells count="8">
    <mergeCell ref="B2:P2"/>
    <mergeCell ref="B3:P3"/>
    <mergeCell ref="B4:P4"/>
    <mergeCell ref="B5:P5"/>
    <mergeCell ref="B6:P6"/>
    <mergeCell ref="C37:D37"/>
    <mergeCell ref="C44:D44"/>
    <mergeCell ref="I30:O33"/>
  </mergeCells>
  <dataValidations count="2">
    <dataValidation type="list" allowBlank="1" showInputMessage="1" showErrorMessage="1" errorTitle="Pick from the list" error="Choose one of the listed options." sqref="C37">
      <formula1>"Yes,No"</formula1>
    </dataValidation>
    <dataValidation type="list" allowBlank="1" showInputMessage="1" showErrorMessage="1" errorTitle="Pick from the list" error="Choose one of the listed options." sqref="C44">
      <formula1>"Per ship cargo (MWh),Per kg H2 (kWh)"</formula1>
    </dataValidation>
  </dataValidations>
  <pageMargins left="0.7" right="0.7" top="0.75" bottom="0.75" header="0.3" footer="0.3"/>
  <pageSetup paperSize="8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59F0A"/>
    <pageSetUpPr fitToPage="1"/>
  </sheetPr>
  <dimension ref="B1:P98"/>
  <sheetViews>
    <sheetView showGridLines="0" zoomScale="90" zoomScaleNormal="90" workbookViewId="0"/>
  </sheetViews>
  <sheetFormatPr defaultRowHeight="17" customHeight="1"/>
  <cols>
    <col min="1" max="1" width="2.7109375" customWidth="1"/>
    <col min="2" max="2" width="42.7109375" customWidth="1"/>
    <col min="3" max="31" width="14.7109375" customWidth="1"/>
  </cols>
  <sheetData>
    <row r="1" spans="2:16" ht="17" customHeight="1">
      <c r="B1" s="1" t="s">
        <v>0</v>
      </c>
    </row>
    <row r="2" spans="2:16" ht="30" customHeight="1">
      <c r="B2" s="2" t="s">
        <v>381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6" customHeight="1">
      <c r="B3" s="3" t="s">
        <v>382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34" customHeight="1">
      <c r="B4" s="4" t="s">
        <v>383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" customHeight="1">
      <c r="B5" s="5" t="s">
        <v>384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ht="17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spans="2:16" ht="17" customHeight="1">
      <c r="B8" s="7" t="s">
        <v>385</v>
      </c>
      <c r="C8" s="8"/>
      <c r="D8" s="8"/>
      <c r="E8" s="8"/>
      <c r="F8" s="8"/>
      <c r="G8" s="8"/>
    </row>
    <row r="9" spans="2:16" ht="17" customHeight="1">
      <c r="B9" s="9" t="s">
        <v>386</v>
      </c>
      <c r="C9" s="13">
        <f>Ch_Tot_L/Ch_Del_L</f>
        <v>13.2745430771808</v>
      </c>
      <c r="D9" s="11" t="s">
        <v>148</v>
      </c>
      <c r="E9" s="6" t="str">
        <f>TEXT(Ch_Del_L/1000,"#,##0")&amp;" t H2 delivered · "&amp;TEXT(Ch_Tot_L/Ch_Del_L/(Ship_LHV_H2/3.6)*100,"0")&amp;" % of its LHV"</f>
        <v>2,605 t H2 delivered · 40 % of its LHV</v>
      </c>
    </row>
    <row r="10" spans="2:16" ht="17" customHeight="1">
      <c r="B10" s="9" t="s">
        <v>387</v>
      </c>
      <c r="C10" s="13">
        <f>Ch_Tot_G/Ch_Del_G</f>
        <v>11.355710072508</v>
      </c>
      <c r="D10" s="11" t="s">
        <v>148</v>
      </c>
      <c r="E10" s="6" t="str">
        <f>TEXT(Ch_Del_G/1000,"#,##0")&amp;" t H2 delivered · "&amp;TEXT(Ch_Tot_G/Ch_Del_G/(Ship_LHV_H2/3.6)*100,"0")&amp;" % of its LHV"</f>
        <v>4,197 t H2 delivered · 34 % of its LHV</v>
      </c>
    </row>
    <row r="11" spans="2:16" ht="17" customHeight="1">
      <c r="B11" s="9" t="s">
        <v>388</v>
      </c>
      <c r="C11" s="13">
        <f>Ch_Tot_C/Ch_Del_C</f>
        <v>11.657145516214</v>
      </c>
      <c r="D11" s="11" t="s">
        <v>148</v>
      </c>
      <c r="E11" s="6" t="str">
        <f>TEXT(Ch_Del_C/1000,"#,##0")&amp;" t H2 delivered · "&amp;TEXT(Ch_Tot_C/Ch_Del_C/(Ship_LHV_H2/3.6)*100,"0")&amp;" % of its LHV"</f>
        <v>3,789 t H2 delivered · 35 % of its LHV</v>
      </c>
    </row>
    <row r="12" spans="2:16" ht="17" customHeight="1">
      <c r="B12" s="9" t="s">
        <v>389</v>
      </c>
      <c r="C12" s="13">
        <f>(Ch_Tot_L/Ch_Del_L)/(Ch_Tot_G/Ch_Del_G)</f>
        <v>1.16897516689144</v>
      </c>
      <c r="D12" s="11" t="s">
        <v>153</v>
      </c>
      <c r="E12" s="6" t="s">
        <v>390</v>
      </c>
    </row>
    <row r="14" spans="2:16" ht="17" customHeight="1">
      <c r="B14" s="7" t="s">
        <v>391</v>
      </c>
      <c r="C14" s="8"/>
      <c r="D14" s="8"/>
      <c r="E14" s="8"/>
      <c r="F14" s="8"/>
      <c r="G14" s="8"/>
    </row>
    <row r="15" spans="2:16" ht="17" customHeight="1">
      <c r="B15" s="9" t="s">
        <v>392</v>
      </c>
      <c r="C15" s="12">
        <v>20</v>
      </c>
      <c r="D15" s="11" t="s">
        <v>189</v>
      </c>
      <c r="E15" s="6" t="s">
        <v>393</v>
      </c>
    </row>
    <row r="16" spans="2:16" ht="17" customHeight="1">
      <c r="B16" s="9" t="s">
        <v>394</v>
      </c>
      <c r="C16" s="10" t="s">
        <v>145</v>
      </c>
      <c r="D16" s="11" t="s">
        <v>66</v>
      </c>
      <c r="E16" s="6" t="s">
        <v>67</v>
      </c>
    </row>
    <row r="17" spans="2:13" ht="17" customHeight="1">
      <c r="B17" s="7" t="s">
        <v>395</v>
      </c>
      <c r="C17" s="8"/>
      <c r="D17" s="8"/>
      <c r="E17" s="8"/>
      <c r="F17" s="8"/>
      <c r="G17" s="8"/>
    </row>
    <row r="18" spans="2:13" ht="17" customHeight="1">
      <c r="B18" s="9" t="s">
        <v>396</v>
      </c>
      <c r="C18" s="10" t="s">
        <v>397</v>
      </c>
      <c r="D18" s="11" t="s">
        <v>66</v>
      </c>
      <c r="E18" s="6" t="s">
        <v>398</v>
      </c>
    </row>
    <row r="19" spans="2:13" ht="17" customHeight="1">
      <c r="B19" s="9" t="s">
        <v>399</v>
      </c>
      <c r="C19" s="10" t="s">
        <v>400</v>
      </c>
      <c r="D19" s="11" t="s">
        <v>66</v>
      </c>
      <c r="E19" s="6" t="s">
        <v>401</v>
      </c>
    </row>
    <row r="20" spans="2:13" ht="17" customHeight="1">
      <c r="B20" s="7" t="s">
        <v>402</v>
      </c>
      <c r="C20" s="8"/>
      <c r="D20" s="8"/>
      <c r="E20" s="8"/>
      <c r="F20" s="8"/>
      <c r="G20" s="8"/>
    </row>
    <row r="21" spans="2:13" ht="17" customHeight="1">
      <c r="B21" s="9" t="s">
        <v>403</v>
      </c>
      <c r="C21" s="54" t="str">
        <f>Up_ElzOn</f>
        <v>No</v>
      </c>
      <c r="D21" s="11" t="s">
        <v>66</v>
      </c>
      <c r="E21" s="6" t="s">
        <v>404</v>
      </c>
    </row>
    <row r="22" spans="2:13" ht="17" customHeight="1">
      <c r="B22" s="9" t="s">
        <v>147</v>
      </c>
      <c r="C22" s="16">
        <f>Up_ElzSec</f>
        <v>60</v>
      </c>
      <c r="D22" s="11" t="s">
        <v>148</v>
      </c>
      <c r="E22" s="6" t="s">
        <v>404</v>
      </c>
    </row>
    <row r="23" spans="2:13" ht="17" customHeight="1">
      <c r="B23" s="7" t="s">
        <v>195</v>
      </c>
      <c r="C23" s="8"/>
      <c r="D23" s="8"/>
      <c r="E23" s="8"/>
      <c r="F23" s="8"/>
      <c r="G23" s="8"/>
    </row>
    <row r="24" spans="2:13" ht="17" customHeight="1">
      <c r="B24" s="9" t="s">
        <v>196</v>
      </c>
      <c r="C24" s="10" t="s">
        <v>405</v>
      </c>
      <c r="D24" s="11" t="s">
        <v>66</v>
      </c>
      <c r="E24" s="6" t="s">
        <v>67</v>
      </c>
    </row>
    <row r="26" spans="2:13" ht="17" customHeight="1">
      <c r="B26" s="7" t="s">
        <v>406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2:13" ht="17" customHeight="1">
      <c r="B27" s="9" t="s">
        <v>407</v>
      </c>
      <c r="C27" s="20">
        <f>IF(Ch_Fuel="Dual fuel NH3/VLSFO",1,0)</f>
        <v>1</v>
      </c>
      <c r="D27" s="11" t="s">
        <v>66</v>
      </c>
    </row>
    <row r="28" spans="2:13" ht="17" customHeight="1">
      <c r="B28" s="9" t="s">
        <v>408</v>
      </c>
      <c r="C28" s="20">
        <f>IF(AND(Ch_DF=1,Ch_Src="Cargo"),1,0)</f>
        <v>0</v>
      </c>
      <c r="D28" s="11" t="s">
        <v>66</v>
      </c>
    </row>
    <row r="29" spans="2:13" ht="17" customHeight="1">
      <c r="B29" s="9" t="s">
        <v>409</v>
      </c>
      <c r="C29" s="20">
        <f>IF(Ch_Ballast="Yes",1,0)</f>
        <v>0</v>
      </c>
      <c r="D29" s="11" t="s">
        <v>66</v>
      </c>
    </row>
    <row r="30" spans="2:13" ht="17" customHeight="1">
      <c r="B30" s="9" t="s">
        <v>410</v>
      </c>
      <c r="C30" s="20">
        <f>Ship_BOG*Ch_Days</f>
        <v>226560</v>
      </c>
      <c r="D30" s="11" t="s">
        <v>70</v>
      </c>
    </row>
    <row r="31" spans="2:13" ht="17" customHeight="1">
      <c r="B31" s="9" t="s">
        <v>411</v>
      </c>
      <c r="C31" s="20">
        <f>Ship_Burned*Ch_Days</f>
        <v>226560</v>
      </c>
      <c r="D31" s="11" t="s">
        <v>70</v>
      </c>
    </row>
    <row r="32" spans="2:13" ht="17" customHeight="1">
      <c r="B32" s="9" t="s">
        <v>412</v>
      </c>
      <c r="C32" s="20">
        <f>Ship_Surplus*Ch_Days</f>
        <v>0</v>
      </c>
      <c r="D32" s="11" t="s">
        <v>70</v>
      </c>
    </row>
    <row r="33" spans="2:13" ht="17" customHeight="1">
      <c r="B33" s="9" t="s">
        <v>413</v>
      </c>
      <c r="C33" s="40">
        <f>Ship_Vlsfo*Ch_Days+Ch_Ball*Ship_Duty_L*Ch_Days</f>
        <v>116.89756097561</v>
      </c>
      <c r="D33" s="11" t="s">
        <v>155</v>
      </c>
    </row>
    <row r="34" spans="2:13" ht="17" customHeight="1">
      <c r="B34" s="9" t="s">
        <v>414</v>
      </c>
      <c r="C34" s="40">
        <f>Ch_DF*Ship_NH3Fuel*Ch_Days</f>
        <v>1256.45161290323</v>
      </c>
      <c r="D34" s="11" t="s">
        <v>415</v>
      </c>
    </row>
    <row r="35" spans="2:13" ht="17" customHeight="1">
      <c r="B35" s="9" t="s">
        <v>416</v>
      </c>
      <c r="C35" s="40">
        <f>IF(Ch_DF=1,Ship_PilotN*Ch_Days,Ship_Duty_N*Ch_Days)+Ch_Ball*Ship_Duty_N*Ch_Days</f>
        <v>30</v>
      </c>
      <c r="D35" s="11" t="s">
        <v>155</v>
      </c>
    </row>
    <row r="36" spans="2:13" ht="17" customHeight="1">
      <c r="B36" s="9" t="s">
        <v>417</v>
      </c>
      <c r="C36" s="20">
        <f>Ship_CargoN-Ch_FromCargo*Ch_NH3FuelT*1000</f>
        <v>27280000</v>
      </c>
      <c r="D36" s="11" t="s">
        <v>70</v>
      </c>
    </row>
    <row r="37" spans="2:13" ht="17" customHeight="1">
      <c r="B37" s="9" t="s">
        <v>418</v>
      </c>
      <c r="C37" s="51">
        <f>Ch_ArrN/Ship_CargoN</f>
        <v>1</v>
      </c>
      <c r="D37" s="11" t="s">
        <v>66</v>
      </c>
    </row>
    <row r="38" spans="2:13" ht="17" customHeight="1">
      <c r="B38" s="9" t="s">
        <v>419</v>
      </c>
      <c r="C38" s="20">
        <f>Ship_CargoL-Ch_BogKg</f>
        <v>2605440</v>
      </c>
      <c r="D38" s="11" t="s">
        <v>70</v>
      </c>
      <c r="E38" s="6" t="s">
        <v>420</v>
      </c>
    </row>
    <row r="39" spans="2:13" ht="17" customHeight="1">
      <c r="B39" s="9" t="s">
        <v>215</v>
      </c>
      <c r="C39" s="21" t="str">
        <f>IF(Ch_Basis="Per kg H2 delivered (kWh)","kWh/kg H2","MWh")</f>
        <v>kWh/kg H2</v>
      </c>
      <c r="D39" s="11" t="s">
        <v>66</v>
      </c>
    </row>
    <row r="41" spans="2:13" ht="17" customHeight="1">
      <c r="B41" s="7" t="s">
        <v>421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2:13" ht="30" customHeight="1">
      <c r="B42" s="24" t="s">
        <v>422</v>
      </c>
      <c r="C42" s="25" t="s">
        <v>386</v>
      </c>
      <c r="D42" s="25" t="s">
        <v>423</v>
      </c>
      <c r="E42" s="25" t="s">
        <v>424</v>
      </c>
    </row>
    <row r="43" spans="2:13" ht="17" customHeight="1">
      <c r="B43" s="26" t="s">
        <v>236</v>
      </c>
      <c r="C43" s="27">
        <f>Up_ElzL</f>
        <v>0</v>
      </c>
      <c r="D43" s="27">
        <f>Up_ElzN</f>
        <v>0</v>
      </c>
      <c r="E43" s="27">
        <f>Up_ElzN</f>
        <v>0</v>
      </c>
    </row>
    <row r="44" spans="2:13" ht="17" customHeight="1">
      <c r="B44" s="26" t="s">
        <v>237</v>
      </c>
      <c r="C44" s="27">
        <f>Up_Liq</f>
        <v>25488000</v>
      </c>
      <c r="D44" s="27">
        <f>Up_HB</f>
        <v>4871428.57142857</v>
      </c>
      <c r="E44" s="27">
        <f>Up_HB</f>
        <v>4871428.57142857</v>
      </c>
    </row>
    <row r="45" spans="2:13" ht="17" customHeight="1">
      <c r="B45" s="26" t="s">
        <v>238</v>
      </c>
      <c r="C45" s="27">
        <f>Up_RlL</f>
        <v>83685.6</v>
      </c>
      <c r="D45" s="27">
        <f>Up_RlN</f>
        <v>25575</v>
      </c>
      <c r="E45" s="27">
        <f>Up_RlN</f>
        <v>25575</v>
      </c>
    </row>
    <row r="46" spans="2:13" ht="17" customHeight="1">
      <c r="B46" s="26" t="s">
        <v>425</v>
      </c>
      <c r="C46" s="27">
        <f>Ch_VlsfoL_t*1000*(Ship_LHV_VLSFO/3.6)</f>
        <v>1331333.33333333</v>
      </c>
      <c r="D46" s="27">
        <f>Ch_VlsfoN_t*1000*(Ship_LHV_VLSFO/3.6)+(1-Ch_FromCargo)*Ch_NH3FuelT*1000*(Ship_LHV_N/3.6)</f>
        <v>6833333.33333334</v>
      </c>
      <c r="E46" s="27">
        <f>Ch_VlsfoN_t*1000*(Ship_LHV_VLSFO/3.6)+(1-Ch_FromCargo)*Ch_NH3FuelT*1000*(Ship_LHV_N/3.6)</f>
        <v>6833333.33333334</v>
      </c>
    </row>
    <row r="47" spans="2:13" ht="17" customHeight="1">
      <c r="B47" s="26" t="s">
        <v>426</v>
      </c>
      <c r="C47" s="27">
        <f>Ch_BogKg*(Ship_LHV_H2/3.6)</f>
        <v>7552000</v>
      </c>
      <c r="D47" s="27">
        <f>Ch_FromCargo*Ch_NH3FuelT*1000*(Ship_LHV_N/3.6)</f>
        <v>0</v>
      </c>
      <c r="E47" s="27">
        <f>Ch_FromCargo*Ch_NH3FuelT*1000*(Ship_LHV_N/3.6)</f>
        <v>0</v>
      </c>
    </row>
    <row r="48" spans="2:13" ht="17" customHeight="1">
      <c r="B48" s="26" t="s">
        <v>427</v>
      </c>
      <c r="C48" s="27">
        <f>Dn_RegasPerKg*Ch_DelL</f>
        <v>131006.581676543</v>
      </c>
      <c r="D48" s="27">
        <f>Dn_TotNG*Ch_Sc</f>
        <v>35928704.7533947</v>
      </c>
      <c r="E48" s="27">
        <f>Dn_TotCL*Ch_Sc</f>
        <v>32437292.2177821</v>
      </c>
    </row>
    <row r="49" spans="2:13" ht="17" customHeight="1">
      <c r="B49" s="55" t="s">
        <v>239</v>
      </c>
      <c r="C49" s="56">
        <f>SUM(C43:C48)</f>
        <v>34586025.5150099</v>
      </c>
      <c r="D49" s="56">
        <f>SUM(D43:D48)</f>
        <v>47659041.6581566</v>
      </c>
      <c r="E49" s="56">
        <f>SUM(E43:E48)</f>
        <v>44167629.1225441</v>
      </c>
    </row>
    <row r="50" spans="2:13" ht="17" customHeight="1">
      <c r="B50" s="26" t="s">
        <v>428</v>
      </c>
      <c r="C50" s="27">
        <f>Ch_DelL</f>
        <v>2605440</v>
      </c>
      <c r="D50" s="27">
        <f>Dn_H2NG*Ch_Sc</f>
        <v>4196923.07692308</v>
      </c>
      <c r="E50" s="27">
        <f>Dn_H2CL*Ch_Sc</f>
        <v>3788888.88888889</v>
      </c>
    </row>
    <row r="51" spans="2:13" ht="17" customHeight="1">
      <c r="B51" s="26" t="s">
        <v>429</v>
      </c>
      <c r="C51" s="27">
        <f>Ship_CargoL</f>
        <v>2832000</v>
      </c>
      <c r="D51" s="27">
        <f>Up_H2N</f>
        <v>4871428.57142857</v>
      </c>
      <c r="E51" s="27">
        <f>Up_H2N</f>
        <v>4871428.57142857</v>
      </c>
    </row>
    <row r="52" spans="2:13" ht="17" customHeight="1">
      <c r="B52" s="26" t="s">
        <v>430</v>
      </c>
      <c r="C52" s="57">
        <f>Ch_Tot_L/Ch_Del_L</f>
        <v>13.2745430771808</v>
      </c>
      <c r="D52" s="57">
        <f>Ch_Tot_G/Ch_Del_G</f>
        <v>11.355710072508</v>
      </c>
      <c r="E52" s="57">
        <f>Ch_Tot_C/Ch_Del_C</f>
        <v>11.657145516214</v>
      </c>
    </row>
    <row r="54" spans="2:13" ht="17" customHeight="1">
      <c r="B54" s="7" t="s">
        <v>431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2:13" ht="30" customHeight="1">
      <c r="B55" s="24" t="s">
        <v>432</v>
      </c>
      <c r="C55" s="25" t="s">
        <v>433</v>
      </c>
      <c r="D55" s="25" t="s">
        <v>434</v>
      </c>
      <c r="E55" s="25" t="s">
        <v>435</v>
      </c>
      <c r="F55" s="25" t="s">
        <v>436</v>
      </c>
      <c r="G55" s="25" t="s">
        <v>437</v>
      </c>
      <c r="H55" s="25" t="s">
        <v>438</v>
      </c>
    </row>
    <row r="56" spans="2:13" ht="17" customHeight="1">
      <c r="B56" s="26" t="s">
        <v>248</v>
      </c>
      <c r="C56" s="27">
        <f>Ship_CargoL/1000</f>
        <v>2832</v>
      </c>
      <c r="D56" s="27">
        <f>Ship_CargoL/1000</f>
        <v>2832</v>
      </c>
      <c r="E56" s="27">
        <f>Ch_BogKg/1000</f>
        <v>226.56</v>
      </c>
      <c r="F56" s="27" t="s">
        <v>90</v>
      </c>
      <c r="G56" s="27">
        <f>Ch_Del_L/1000</f>
        <v>2605.44</v>
      </c>
      <c r="H56" s="58">
        <f>Ch_Del_L/Ch_Hin_L</f>
        <v>0.92</v>
      </c>
    </row>
    <row r="57" spans="2:13" ht="17" customHeight="1">
      <c r="B57" s="26" t="s">
        <v>423</v>
      </c>
      <c r="C57" s="27">
        <f>Up_H2N/1000</f>
        <v>4871.42857142857</v>
      </c>
      <c r="D57" s="27">
        <f>Ship_CargoN/Up_Stoich/1000</f>
        <v>4871.42857142857</v>
      </c>
      <c r="E57" s="27">
        <f>Ch_FromCargo*Ch_NH3FuelT/Up_Stoich</f>
        <v>0</v>
      </c>
      <c r="F57" s="27">
        <f>(Ch_ArrN/Up_Stoich-Ch_Del_G)/1000</f>
        <v>674.505494505495</v>
      </c>
      <c r="G57" s="27">
        <f>Ch_Del_G/1000</f>
        <v>4196.92307692308</v>
      </c>
      <c r="H57" s="58">
        <f>Ch_Del_G/Ch_Hin_G</f>
        <v>0.861538461538462</v>
      </c>
    </row>
    <row r="58" spans="2:13" ht="17" customHeight="1">
      <c r="B58" s="26" t="s">
        <v>424</v>
      </c>
      <c r="C58" s="27">
        <f>Up_H2N/1000</f>
        <v>4871.42857142857</v>
      </c>
      <c r="D58" s="27">
        <f>Ship_CargoN/Up_Stoich/1000</f>
        <v>4871.42857142857</v>
      </c>
      <c r="E58" s="27">
        <f>Ch_FromCargo*Ch_NH3FuelT/Up_Stoich</f>
        <v>0</v>
      </c>
      <c r="F58" s="27">
        <f>(Ch_ArrN/Up_Stoich-Ch_Del_C)/1000</f>
        <v>1082.53968253968</v>
      </c>
      <c r="G58" s="27">
        <f>Ch_Del_C/1000</f>
        <v>3788.88888888889</v>
      </c>
      <c r="H58" s="58">
        <f>Ch_Del_C/Ch_Hin_C</f>
        <v>0.777777777777778</v>
      </c>
    </row>
    <row r="59" spans="2:13" ht="17" customHeight="1">
      <c r="B59" s="6" t="str">
        <f>"LH2 surplus boil-off sent to GCU / vent over the voyage: "&amp;TEXT(Ch_SurplusKg/1000,"#,##0")&amp;" t (counted as burned)."</f>
        <v>LH2 surplus boil-off sent to GCU / vent over the voyage: 0 t (counted as burned).</v>
      </c>
    </row>
    <row r="61" spans="2:13" ht="17" customHeight="1">
      <c r="B61" s="7" t="s">
        <v>439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2:13" ht="30" customHeight="1">
      <c r="B62" s="24" t="s">
        <v>422</v>
      </c>
      <c r="C62" s="25" t="s">
        <v>232</v>
      </c>
      <c r="D62" s="25" t="s">
        <v>160</v>
      </c>
      <c r="E62" s="25" t="s">
        <v>440</v>
      </c>
      <c r="F62" s="25" t="s">
        <v>160</v>
      </c>
      <c r="G62" s="25" t="s">
        <v>441</v>
      </c>
      <c r="H62" s="25" t="s">
        <v>160</v>
      </c>
    </row>
    <row r="63" spans="2:13" ht="17" customHeight="1">
      <c r="B63" s="26" t="s">
        <v>236</v>
      </c>
      <c r="C63" s="27">
        <f>Ch_El_L/1000</f>
        <v>0</v>
      </c>
      <c r="D63" s="29">
        <f>Ch_El_L/Ch_Del_L</f>
        <v>0</v>
      </c>
      <c r="E63" s="27">
        <f>Ch_El_G/1000</f>
        <v>0</v>
      </c>
      <c r="F63" s="29">
        <f>Ch_El_G/Ch_Del_G</f>
        <v>0</v>
      </c>
      <c r="G63" s="27">
        <f>Ch_El_C/1000</f>
        <v>0</v>
      </c>
      <c r="H63" s="29">
        <f>Ch_El_C/Ch_Del_C</f>
        <v>0</v>
      </c>
    </row>
    <row r="64" spans="2:13" ht="17" customHeight="1">
      <c r="B64" s="26" t="s">
        <v>237</v>
      </c>
      <c r="C64" s="27">
        <f>Ch_Liq_L/1000</f>
        <v>25488</v>
      </c>
      <c r="D64" s="29">
        <f>Ch_Liq_L/Ch_Del_L</f>
        <v>9.78260869565217</v>
      </c>
      <c r="E64" s="27">
        <f>Ch_Liq_G/1000</f>
        <v>4871.42857142857</v>
      </c>
      <c r="F64" s="29">
        <f>Ch_Liq_G/Ch_Del_G</f>
        <v>1.16071428571429</v>
      </c>
      <c r="G64" s="27">
        <f>Ch_Liq_C/1000</f>
        <v>4871.42857142857</v>
      </c>
      <c r="H64" s="29">
        <f>Ch_Liq_C/Ch_Del_C</f>
        <v>1.28571428571429</v>
      </c>
    </row>
    <row r="65" spans="2:13" ht="17" customHeight="1">
      <c r="B65" s="26" t="s">
        <v>238</v>
      </c>
      <c r="C65" s="27">
        <f>Ch_Rl_L/1000</f>
        <v>83.6856</v>
      </c>
      <c r="D65" s="29">
        <f>Ch_Rl_L/Ch_Del_L</f>
        <v>0.0321195652173913</v>
      </c>
      <c r="E65" s="27">
        <f>Ch_Rl_G/1000</f>
        <v>25.575</v>
      </c>
      <c r="F65" s="29">
        <f>Ch_Rl_G/Ch_Del_G</f>
        <v>0.00609375</v>
      </c>
      <c r="G65" s="27">
        <f>Ch_Rl_C/1000</f>
        <v>25.575</v>
      </c>
      <c r="H65" s="29">
        <f>Ch_Rl_C/Ch_Del_C</f>
        <v>0.00675</v>
      </c>
    </row>
    <row r="66" spans="2:13" ht="17" customHeight="1">
      <c r="B66" s="26" t="s">
        <v>442</v>
      </c>
      <c r="C66" s="27">
        <f>Ch_Ship_L/1000</f>
        <v>1331.33333333333</v>
      </c>
      <c r="D66" s="29">
        <f>Ch_Ship_L/Ch_Del_L</f>
        <v>0.510982150167854</v>
      </c>
      <c r="E66" s="27">
        <f>Ch_Ship_G/1000</f>
        <v>6833.33333333334</v>
      </c>
      <c r="F66" s="29">
        <f>Ch_Ship_G/Ch_Del_G</f>
        <v>1.62817693059629</v>
      </c>
      <c r="G66" s="27">
        <f>Ch_Ship_C/1000</f>
        <v>6833.33333333334</v>
      </c>
      <c r="H66" s="29">
        <f>Ch_Ship_C/Ch_Del_C</f>
        <v>1.80351906158358</v>
      </c>
    </row>
    <row r="67" spans="2:13" ht="17" customHeight="1">
      <c r="B67" s="26" t="s">
        <v>426</v>
      </c>
      <c r="C67" s="27">
        <f>Ch_Cargo_L/1000</f>
        <v>7552</v>
      </c>
      <c r="D67" s="29">
        <f>Ch_Cargo_L/Ch_Del_L</f>
        <v>2.89855072463768</v>
      </c>
      <c r="E67" s="27">
        <f>Ch_Cargo_G/1000</f>
        <v>0</v>
      </c>
      <c r="F67" s="29">
        <f>Ch_Cargo_G/Ch_Del_G</f>
        <v>0</v>
      </c>
      <c r="G67" s="27">
        <f>Ch_Cargo_C/1000</f>
        <v>0</v>
      </c>
      <c r="H67" s="29">
        <f>Ch_Cargo_C/Ch_Del_C</f>
        <v>0</v>
      </c>
    </row>
    <row r="68" spans="2:13" ht="17" customHeight="1">
      <c r="B68" s="26" t="s">
        <v>443</v>
      </c>
      <c r="C68" s="27">
        <f>Ch_Down_L/1000</f>
        <v>131.006581676543</v>
      </c>
      <c r="D68" s="29">
        <f>Ch_Down_L/Ch_Del_L</f>
        <v>0.0502819415056738</v>
      </c>
      <c r="E68" s="27">
        <f>Ch_Down_G/1000</f>
        <v>35928.7047533947</v>
      </c>
      <c r="F68" s="29">
        <f>Ch_Down_G/Ch_Del_G</f>
        <v>8.56072510619741</v>
      </c>
      <c r="G68" s="27">
        <f>Ch_Down_C/1000</f>
        <v>32437.2922177821</v>
      </c>
      <c r="H68" s="29">
        <f>Ch_Down_C/Ch_Del_C</f>
        <v>8.56116216891611</v>
      </c>
    </row>
    <row r="69" spans="2:13" ht="17" customHeight="1">
      <c r="B69" s="30" t="s">
        <v>239</v>
      </c>
      <c r="C69" s="59">
        <f>Ch_Tot_L/1000</f>
        <v>34586.0255150099</v>
      </c>
      <c r="D69" s="32">
        <f>Ch_Tot_L/Ch_Del_L</f>
        <v>13.2745430771808</v>
      </c>
      <c r="E69" s="59">
        <f>Ch_Tot_G/1000</f>
        <v>47659.0416581566</v>
      </c>
      <c r="F69" s="32">
        <f>Ch_Tot_G/Ch_Del_G</f>
        <v>11.355710072508</v>
      </c>
      <c r="G69" s="59">
        <f>Ch_Tot_C/1000</f>
        <v>44167.6291225441</v>
      </c>
      <c r="H69" s="32">
        <f>Ch_Tot_C/Ch_Del_C</f>
        <v>11.657145516214</v>
      </c>
    </row>
    <row r="71" spans="2:13" ht="17" customHeight="1">
      <c r="B71" s="7" t="s">
        <v>444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2:13" ht="30" customHeight="1">
      <c r="B72" s="24" t="s">
        <v>445</v>
      </c>
      <c r="C72" s="25" t="s">
        <v>386</v>
      </c>
      <c r="D72" s="25" t="s">
        <v>423</v>
      </c>
      <c r="E72" s="25" t="s">
        <v>424</v>
      </c>
    </row>
    <row r="73" spans="2:13" ht="17" customHeight="1">
      <c r="B73" s="26" t="s">
        <v>236</v>
      </c>
      <c r="C73" s="27">
        <f>Ch_El_L</f>
        <v>0</v>
      </c>
      <c r="D73" s="27">
        <f>Ch_El_G</f>
        <v>0</v>
      </c>
      <c r="E73" s="27">
        <f>Ch_El_C</f>
        <v>0</v>
      </c>
    </row>
    <row r="74" spans="2:13" ht="17" customHeight="1">
      <c r="B74" s="26" t="s">
        <v>446</v>
      </c>
      <c r="C74" s="27">
        <f>Ch_Liq_L+Ch_Rl_L</f>
        <v>25571685.6</v>
      </c>
      <c r="D74" s="27">
        <f>Ch_Liq_G+Ch_Rl_G</f>
        <v>4897003.57142857</v>
      </c>
      <c r="E74" s="27">
        <f>Ch_Liq_C+Ch_Rl_C</f>
        <v>4897003.57142857</v>
      </c>
    </row>
    <row r="75" spans="2:13" ht="17" customHeight="1">
      <c r="B75" s="26" t="s">
        <v>447</v>
      </c>
      <c r="C75" s="27">
        <f>Ch_Ship_L</f>
        <v>1331333.33333333</v>
      </c>
      <c r="D75" s="27">
        <f>Ch_Ship_G</f>
        <v>6833333.33333334</v>
      </c>
      <c r="E75" s="27">
        <f>Ch_Ship_C</f>
        <v>6833333.33333334</v>
      </c>
    </row>
    <row r="76" spans="2:13" ht="17" customHeight="1">
      <c r="B76" s="26" t="s">
        <v>448</v>
      </c>
      <c r="C76" s="27">
        <f>Ch_Cargo_L</f>
        <v>7552000</v>
      </c>
      <c r="D76" s="27">
        <f>Ch_Cargo_G</f>
        <v>0</v>
      </c>
      <c r="E76" s="27">
        <f>Ch_Cargo_C</f>
        <v>0</v>
      </c>
    </row>
    <row r="77" spans="2:13" ht="17" customHeight="1">
      <c r="B77" s="26" t="s">
        <v>449</v>
      </c>
      <c r="C77" s="27">
        <f>Ch_Down_L</f>
        <v>131006.581676543</v>
      </c>
      <c r="D77" s="27">
        <f>Ch_Down_G</f>
        <v>35928704.7533947</v>
      </c>
      <c r="E77" s="27">
        <f>Ch_Down_C</f>
        <v>32437292.2177821</v>
      </c>
    </row>
    <row r="79" spans="2:13" ht="17" customHeight="1">
      <c r="B79" s="23" t="str">
        <f>INDEX({"LH2","NH3 with NG-fired cracker","NH3 with clean-fuel cracker"},MATCH(MIN(Ch_PerKg),Ch_PerKg,0))</f>
        <v>NH3 with NG-fired cracker</v>
      </c>
    </row>
    <row r="80" spans="2:13" ht="17" customHeight="1">
      <c r="B80" s="23" t="str">
        <f>IF(Ch_Basis="Per kg H2 delivered (kWh)","End to end, the "&amp;Ch_Best&amp;" uses the least energy per kg H2 delivered","End-to-end energy per 40,000 m3 cargo")</f>
        <v>End to end, the NH3 with NG-fired cracker uses the least energy per kg H2 delivered</v>
      </c>
    </row>
    <row r="81" spans="2:15" ht="17" customHeight="1">
      <c r="B81" s="23" t="str">
        <f>IF(Ch_Basis="Per kg H2 delivered (kWh)","Energy, kWh per kg H2 delivered","Energy per 40,000 m3 cargo, MWh")</f>
        <v>Energy, kWh per kg H2 delivered</v>
      </c>
    </row>
    <row r="83" spans="2:15" ht="17" customHeight="1">
      <c r="B83" s="7" t="s">
        <v>450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2:15" ht="42" customHeight="1">
      <c r="B84" s="24" t="s">
        <v>251</v>
      </c>
      <c r="C84" s="25" t="s">
        <v>236</v>
      </c>
      <c r="D84" s="25" t="s">
        <v>446</v>
      </c>
      <c r="E84" s="25" t="s">
        <v>447</v>
      </c>
      <c r="F84" s="25" t="s">
        <v>448</v>
      </c>
      <c r="G84" s="25" t="s">
        <v>449</v>
      </c>
      <c r="H84" s="25" t="s">
        <v>239</v>
      </c>
      <c r="I84" s="25" t="s">
        <v>252</v>
      </c>
      <c r="J84" s="25" t="s">
        <v>253</v>
      </c>
      <c r="K84" s="25" t="s">
        <v>451</v>
      </c>
      <c r="L84" s="25" t="s">
        <v>452</v>
      </c>
      <c r="M84" s="25" t="s">
        <v>453</v>
      </c>
      <c r="N84" s="25" t="s">
        <v>454</v>
      </c>
      <c r="O84" s="25" t="s">
        <v>257</v>
      </c>
    </row>
    <row r="85" spans="2:15" ht="17" customHeight="1">
      <c r="B85" s="34" t="s">
        <v>388</v>
      </c>
      <c r="C85" s="35">
        <f>Stg_El_C/IF(Ch_Basis="Per kg H2 delivered (kWh)",Ch_Del_C,1000)</f>
        <v>0</v>
      </c>
      <c r="D85" s="35">
        <f>Stg_Up_C/IF(Ch_Basis="Per kg H2 delivered (kWh)",Ch_Del_C,1000)</f>
        <v>1.29246428571429</v>
      </c>
      <c r="E85" s="35">
        <f>Stg_Sh_C/IF(Ch_Basis="Per kg H2 delivered (kWh)",Ch_Del_C,1000)</f>
        <v>1.80351906158358</v>
      </c>
      <c r="F85" s="35">
        <f>Stg_ShH_C/IF(Ch_Basis="Per kg H2 delivered (kWh)",Ch_Del_C,1000)</f>
        <v>0</v>
      </c>
      <c r="G85" s="35">
        <f>Stg_Dn_C/IF(Ch_Basis="Per kg H2 delivered (kWh)",Ch_Del_C,1000)</f>
        <v>8.56116216891611</v>
      </c>
      <c r="H85" s="35">
        <f>SUM(C85:G85)</f>
        <v>11.657145516214</v>
      </c>
      <c r="I85" s="35">
        <f>0.3*MAX($H$85:$H$87)</f>
        <v>3.98236292315423</v>
      </c>
      <c r="J85" s="35">
        <f>IF(C85&lt;0.04*MAX($H$85:$H$87),"",TEXT(C85,IF(C85&lt;0.1,"0.000",IF(C85&lt;100,"0.0","#,##0"))))</f>
        <v/>
      </c>
      <c r="K85" s="35" t="str">
        <f>IF(D85&lt;0.04*MAX($H$85:$H$87),"",TEXT(D85,IF(D85&lt;0.1,"0.000",IF(D85&lt;100,"0.0","#,##0"))))</f>
        <v>1.3</v>
      </c>
      <c r="L85" s="35" t="str">
        <f>IF(E85&lt;0.04*MAX($H$85:$H$87),"",TEXT(E85,IF(E85&lt;0.1,"0.000",IF(E85&lt;100,"0.0","#,##0"))))</f>
        <v>1.8</v>
      </c>
      <c r="M85" s="35">
        <f>IF(F85&lt;0.04*MAX($H$85:$H$87),"",TEXT(F85,IF(F85&lt;0.1,"0.000",IF(F85&lt;100,"0.0","#,##0"))))</f>
        <v/>
      </c>
      <c r="N85" s="35" t="str">
        <f>IF(G85&lt;0.04*MAX($H$85:$H$87),"",TEXT(G85,IF(G85&lt;0.1,"0.000",IF(G85&lt;100,"0.0","#,##0"))))</f>
        <v>8.6</v>
      </c>
      <c r="O85" s="35" t="str">
        <f>TEXT(H85,IF(H85&lt;0.1,"0.000",IF(H85&lt;100,"0.0","#,##0")))&amp;" "&amp;Ch_Unit</f>
        <v>11.7 kWh/kg H2</v>
      </c>
    </row>
    <row r="86" spans="2:15" ht="17" customHeight="1">
      <c r="B86" s="34" t="s">
        <v>387</v>
      </c>
      <c r="C86" s="35">
        <f>Stg_El_G/IF(Ch_Basis="Per kg H2 delivered (kWh)",Ch_Del_G,1000)</f>
        <v>0</v>
      </c>
      <c r="D86" s="35">
        <f>Stg_Up_G/IF(Ch_Basis="Per kg H2 delivered (kWh)",Ch_Del_G,1000)</f>
        <v>1.16680803571429</v>
      </c>
      <c r="E86" s="35">
        <f>Stg_Sh_G/IF(Ch_Basis="Per kg H2 delivered (kWh)",Ch_Del_G,1000)</f>
        <v>1.62817693059629</v>
      </c>
      <c r="F86" s="35">
        <f>Stg_ShH_G/IF(Ch_Basis="Per kg H2 delivered (kWh)",Ch_Del_G,1000)</f>
        <v>0</v>
      </c>
      <c r="G86" s="35">
        <f>Stg_Dn_G/IF(Ch_Basis="Per kg H2 delivered (kWh)",Ch_Del_G,1000)</f>
        <v>8.56072510619741</v>
      </c>
      <c r="H86" s="35">
        <f>SUM(C86:G86)</f>
        <v>11.355710072508</v>
      </c>
      <c r="I86" s="35">
        <f>0.3*MAX($H$85:$H$87)</f>
        <v>3.98236292315423</v>
      </c>
      <c r="J86" s="35">
        <f>IF(C86&lt;0.04*MAX($H$85:$H$87),"",TEXT(C86,IF(C86&lt;0.1,"0.000",IF(C86&lt;100,"0.0","#,##0"))))</f>
        <v/>
      </c>
      <c r="K86" s="35" t="str">
        <f>IF(D86&lt;0.04*MAX($H$85:$H$87),"",TEXT(D86,IF(D86&lt;0.1,"0.000",IF(D86&lt;100,"0.0","#,##0"))))</f>
        <v>1.2</v>
      </c>
      <c r="L86" s="35" t="str">
        <f>IF(E86&lt;0.04*MAX($H$85:$H$87),"",TEXT(E86,IF(E86&lt;0.1,"0.000",IF(E86&lt;100,"0.0","#,##0"))))</f>
        <v>1.6</v>
      </c>
      <c r="M86" s="35">
        <f>IF(F86&lt;0.04*MAX($H$85:$H$87),"",TEXT(F86,IF(F86&lt;0.1,"0.000",IF(F86&lt;100,"0.0","#,##0"))))</f>
        <v/>
      </c>
      <c r="N86" s="35" t="str">
        <f>IF(G86&lt;0.04*MAX($H$85:$H$87),"",TEXT(G86,IF(G86&lt;0.1,"0.000",IF(G86&lt;100,"0.0","#,##0"))))</f>
        <v>8.6</v>
      </c>
      <c r="O86" s="35" t="str">
        <f>TEXT(H86,IF(H86&lt;0.1,"0.000",IF(H86&lt;100,"0.0","#,##0")))&amp;" "&amp;Ch_Unit</f>
        <v>11.4 kWh/kg H2</v>
      </c>
    </row>
    <row r="87" spans="2:15" ht="17" customHeight="1">
      <c r="B87" s="34" t="s">
        <v>386</v>
      </c>
      <c r="C87" s="35">
        <f>Stg_El_L/IF(Ch_Basis="Per kg H2 delivered (kWh)",Ch_Del_L,1000)</f>
        <v>0</v>
      </c>
      <c r="D87" s="35">
        <f>Stg_Up_L/IF(Ch_Basis="Per kg H2 delivered (kWh)",Ch_Del_L,1000)</f>
        <v>9.81472826086957</v>
      </c>
      <c r="E87" s="35">
        <f>Stg_Sh_L/IF(Ch_Basis="Per kg H2 delivered (kWh)",Ch_Del_L,1000)</f>
        <v>0.510982150167854</v>
      </c>
      <c r="F87" s="35">
        <f>Stg_ShH_L/IF(Ch_Basis="Per kg H2 delivered (kWh)",Ch_Del_L,1000)</f>
        <v>2.89855072463768</v>
      </c>
      <c r="G87" s="35">
        <f>Stg_Dn_L/IF(Ch_Basis="Per kg H2 delivered (kWh)",Ch_Del_L,1000)</f>
        <v>0.0502819415056738</v>
      </c>
      <c r="H87" s="35">
        <f>SUM(C87:G87)</f>
        <v>13.2745430771808</v>
      </c>
      <c r="I87" s="35">
        <f>0.3*MAX($H$85:$H$87)</f>
        <v>3.98236292315423</v>
      </c>
      <c r="J87" s="35">
        <f>IF(C87&lt;0.04*MAX($H$85:$H$87),"",TEXT(C87,IF(C87&lt;0.1,"0.000",IF(C87&lt;100,"0.0","#,##0"))))</f>
        <v/>
      </c>
      <c r="K87" s="35" t="str">
        <f>IF(D87&lt;0.04*MAX($H$85:$H$87),"",TEXT(D87,IF(D87&lt;0.1,"0.000",IF(D87&lt;100,"0.0","#,##0"))))</f>
        <v>9.8</v>
      </c>
      <c r="L87" s="35">
        <f>IF(E87&lt;0.04*MAX($H$85:$H$87),"",TEXT(E87,IF(E87&lt;0.1,"0.000",IF(E87&lt;100,"0.0","#,##0"))))</f>
        <v/>
      </c>
      <c r="M87" s="35" t="str">
        <f>IF(F87&lt;0.04*MAX($H$85:$H$87),"",TEXT(F87,IF(F87&lt;0.1,"0.000",IF(F87&lt;100,"0.0","#,##0"))))</f>
        <v>2.9</v>
      </c>
      <c r="N87" s="35">
        <f>IF(G87&lt;0.04*MAX($H$85:$H$87),"",TEXT(G87,IF(G87&lt;0.1,"0.000",IF(G87&lt;100,"0.0","#,##0"))))</f>
        <v/>
      </c>
      <c r="O87" s="35" t="str">
        <f>TEXT(H87,IF(H87&lt;0.1,"0.000",IF(H87&lt;100,"0.0","#,##0")))&amp;" "&amp;Ch_Unit</f>
        <v>13.3 kWh/kg H2</v>
      </c>
    </row>
    <row r="90" spans="2:15" ht="17" customHeight="1">
      <c r="B90" s="7" t="s">
        <v>131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2:15" ht="17" customHeight="1">
      <c r="B91" s="6" t="s">
        <v>455</v>
      </c>
    </row>
    <row r="92" spans="2:15" ht="17" customHeight="1">
      <c r="B92" s="6" t="s">
        <v>456</v>
      </c>
    </row>
    <row r="93" spans="2:15" ht="17" customHeight="1">
      <c r="B93" s="6" t="s">
        <v>457</v>
      </c>
    </row>
    <row r="94" spans="2:15" ht="17" customHeight="1">
      <c r="B94" s="6" t="s">
        <v>458</v>
      </c>
    </row>
    <row r="95" spans="2:15" ht="17" customHeight="1">
      <c r="B95" s="6" t="s">
        <v>459</v>
      </c>
    </row>
    <row r="96" spans="2:15" ht="17" customHeight="1">
      <c r="B96" s="6" t="s">
        <v>460</v>
      </c>
    </row>
    <row r="97" spans="2:2" ht="17" customHeight="1">
      <c r="B97" s="6" t="s">
        <v>461</v>
      </c>
    </row>
    <row r="98" spans="2:2" ht="17" customHeight="1">
      <c r="B98" s="6" t="s">
        <v>462</v>
      </c>
    </row>
  </sheetData>
  <mergeCells count="10">
    <mergeCell ref="B2:P2"/>
    <mergeCell ref="B3:P3"/>
    <mergeCell ref="B4:P4"/>
    <mergeCell ref="B5:P5"/>
    <mergeCell ref="B6:P6"/>
    <mergeCell ref="C16:D16"/>
    <mergeCell ref="C18:D18"/>
    <mergeCell ref="C19:D19"/>
    <mergeCell ref="C21:D21"/>
    <mergeCell ref="C24:D24"/>
  </mergeCells>
  <dataValidations count="4">
    <dataValidation type="list" allowBlank="1" showInputMessage="1" showErrorMessage="1" errorTitle="Pick from the list" error="Choose one of the listed options." sqref="C16">
      <formula1>"No,Yes"</formula1>
    </dataValidation>
    <dataValidation type="list" allowBlank="1" showInputMessage="1" showErrorMessage="1" errorTitle="Pick from the list" error="Choose one of the listed options." sqref="C18">
      <formula1>"Dual fuel NH3/VLSFO,VLSFO only"</formula1>
    </dataValidation>
    <dataValidation type="list" allowBlank="1" showInputMessage="1" showErrorMessage="1" errorTitle="Pick from the list" error="Choose one of the listed options." sqref="C19">
      <formula1>"Bunkered,Cargo"</formula1>
    </dataValidation>
    <dataValidation type="list" allowBlank="1" showInputMessage="1" showErrorMessage="1" errorTitle="Pick from the list" error="Choose one of the listed options." sqref="C24">
      <formula1>"Per kg H2 delivered (kWh),Per cargo (MWh)"</formula1>
    </dataValidation>
  </dataValidations>
  <pageMargins left="0.7" right="0.7" top="0.75" bottom="0.75" header="0.3" footer="0.3"/>
  <pageSetup paperSize="8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5BA75"/>
    <pageSetUpPr fitToPage="1"/>
  </sheetPr>
  <dimension ref="B1:P79"/>
  <sheetViews>
    <sheetView showGridLines="0" zoomScale="90" zoomScaleNormal="90" workbookViewId="0"/>
  </sheetViews>
  <sheetFormatPr defaultRowHeight="17" customHeight="1"/>
  <cols>
    <col min="1" max="1" width="2.7109375" customWidth="1"/>
    <col min="2" max="2" width="42.7109375" customWidth="1"/>
    <col min="3" max="31" width="14.7109375" customWidth="1"/>
  </cols>
  <sheetData>
    <row r="1" spans="2:16" ht="17" customHeight="1">
      <c r="B1" s="1" t="s">
        <v>0</v>
      </c>
    </row>
    <row r="2" spans="2:16" ht="30" customHeight="1">
      <c r="B2" s="2" t="s">
        <v>463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6" customHeight="1">
      <c r="B3" s="3" t="s">
        <v>464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34" customHeight="1">
      <c r="B4" s="4" t="s">
        <v>465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" customHeight="1">
      <c r="B5" s="5" t="s">
        <v>466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ht="17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spans="2:16" ht="17" customHeight="1">
      <c r="B8" s="7" t="s">
        <v>467</v>
      </c>
      <c r="C8" s="8"/>
      <c r="D8" s="8"/>
      <c r="E8" s="8"/>
      <c r="F8" s="8"/>
      <c r="G8" s="8"/>
    </row>
    <row r="9" spans="2:16" ht="17" customHeight="1">
      <c r="B9" s="9" t="s">
        <v>468</v>
      </c>
      <c r="C9" s="12">
        <v>100</v>
      </c>
      <c r="D9" s="11" t="s">
        <v>469</v>
      </c>
      <c r="E9" s="6" t="s">
        <v>470</v>
      </c>
    </row>
    <row r="10" spans="2:16" ht="17" customHeight="1">
      <c r="B10" s="9" t="s">
        <v>471</v>
      </c>
      <c r="C10" s="19">
        <v>1.25</v>
      </c>
      <c r="D10" s="11" t="s">
        <v>189</v>
      </c>
      <c r="E10" s="6" t="s">
        <v>472</v>
      </c>
    </row>
    <row r="11" spans="2:16" ht="17" customHeight="1">
      <c r="B11" s="9" t="s">
        <v>473</v>
      </c>
      <c r="C11" s="12">
        <v>90</v>
      </c>
      <c r="D11" s="11" t="s">
        <v>13</v>
      </c>
      <c r="E11" s="6" t="s">
        <v>474</v>
      </c>
    </row>
    <row r="12" spans="2:16" ht="17" customHeight="1">
      <c r="B12" s="7" t="s">
        <v>475</v>
      </c>
      <c r="C12" s="8"/>
      <c r="D12" s="8"/>
      <c r="E12" s="8"/>
      <c r="F12" s="8"/>
      <c r="G12" s="8"/>
    </row>
    <row r="13" spans="2:16" ht="17" customHeight="1">
      <c r="B13" s="9" t="s">
        <v>476</v>
      </c>
      <c r="C13" s="16">
        <f>Ch_Days</f>
        <v>20</v>
      </c>
      <c r="D13" s="11" t="s">
        <v>189</v>
      </c>
      <c r="E13" s="6" t="s">
        <v>477</v>
      </c>
    </row>
    <row r="14" spans="2:16" ht="17" customHeight="1">
      <c r="B14" s="9" t="s">
        <v>478</v>
      </c>
      <c r="C14" s="54" t="str">
        <f>Ch_Ballast</f>
        <v>No</v>
      </c>
      <c r="D14" s="11" t="s">
        <v>66</v>
      </c>
      <c r="E14" s="6" t="s">
        <v>477</v>
      </c>
    </row>
    <row r="15" spans="2:16" ht="17" customHeight="1">
      <c r="B15" s="9" t="s">
        <v>396</v>
      </c>
      <c r="C15" s="54" t="str">
        <f>Ch_Fuel</f>
        <v>Dual fuel NH3/VLSFO</v>
      </c>
      <c r="D15" s="11" t="s">
        <v>66</v>
      </c>
      <c r="E15" s="6" t="s">
        <v>477</v>
      </c>
    </row>
    <row r="16" spans="2:16" ht="17" customHeight="1">
      <c r="B16" s="9" t="s">
        <v>399</v>
      </c>
      <c r="C16" s="54" t="str">
        <f>Ch_Src</f>
        <v>Bunkered</v>
      </c>
      <c r="D16" s="11" t="s">
        <v>66</v>
      </c>
      <c r="E16" s="6" t="s">
        <v>477</v>
      </c>
    </row>
    <row r="17" spans="2:13" ht="17" customHeight="1">
      <c r="B17" s="9" t="s">
        <v>479</v>
      </c>
      <c r="C17" s="54" t="str">
        <f>Up_ElzOn</f>
        <v>No</v>
      </c>
      <c r="D17" s="11" t="s">
        <v>66</v>
      </c>
      <c r="E17" s="6" t="s">
        <v>404</v>
      </c>
    </row>
    <row r="19" spans="2:13" ht="17" customHeight="1">
      <c r="B19" s="7" t="s">
        <v>6</v>
      </c>
      <c r="C19" s="8"/>
      <c r="D19" s="8"/>
      <c r="E19" s="8"/>
      <c r="F19" s="8"/>
      <c r="G19" s="8"/>
    </row>
    <row r="20" spans="2:13" ht="17" customHeight="1">
      <c r="B20" s="9" t="s">
        <v>386</v>
      </c>
      <c r="C20" s="14">
        <f>An_E_L</f>
        <v>1327.45430771808</v>
      </c>
      <c r="D20" s="11" t="s">
        <v>480</v>
      </c>
      <c r="E20" s="6" t="str">
        <f>"≈ "&amp;TEXT(An_E_L/8.76,"#,##0")&amp;" MW average, around the clock"</f>
        <v>≈ 152 MW average, around the clock</v>
      </c>
    </row>
    <row r="21" spans="2:13" ht="17" customHeight="1">
      <c r="B21" s="9" t="s">
        <v>387</v>
      </c>
      <c r="C21" s="14">
        <f>An_E_G</f>
        <v>1135.5710072508</v>
      </c>
      <c r="D21" s="11" t="s">
        <v>480</v>
      </c>
      <c r="E21" s="6" t="str">
        <f>"≈ "&amp;TEXT(An_E_G/8.76,"#,##0")&amp;" MW average, around the clock"</f>
        <v>≈ 130 MW average, around the clock</v>
      </c>
    </row>
    <row r="22" spans="2:13" ht="17" customHeight="1">
      <c r="B22" s="9" t="s">
        <v>388</v>
      </c>
      <c r="C22" s="14">
        <f>An_E_C</f>
        <v>1165.7145516214</v>
      </c>
      <c r="D22" s="11" t="s">
        <v>480</v>
      </c>
      <c r="E22" s="6" t="str">
        <f>"≈ "&amp;TEXT(An_E_C/8.76,"#,##0")&amp;" MW average, around the clock"</f>
        <v>≈ 133 MW average, around the clock</v>
      </c>
    </row>
    <row r="23" spans="2:13" ht="17" customHeight="1">
      <c r="B23" s="9" t="s">
        <v>481</v>
      </c>
      <c r="C23" s="14">
        <f>An_E_L-An_E_G</f>
        <v>191.883300467279</v>
      </c>
      <c r="D23" s="11" t="s">
        <v>480</v>
      </c>
      <c r="E23" s="6" t="str">
        <f>TEXT(An_E_L/An_E_G,"0.00")&amp;"× on the same delivered H2"</f>
        <v>1.17× on the same delivered H2</v>
      </c>
    </row>
    <row r="25" spans="2:13" ht="17" customHeight="1">
      <c r="B25" s="7" t="s">
        <v>482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2:13" ht="17" customHeight="1">
      <c r="B26" s="9" t="s">
        <v>483</v>
      </c>
      <c r="C26" s="20">
        <f>An_Target*1000000</f>
        <v>100000000</v>
      </c>
      <c r="D26" s="11" t="s">
        <v>484</v>
      </c>
    </row>
    <row r="27" spans="2:13" ht="17" customHeight="1">
      <c r="B27" s="9" t="s">
        <v>485</v>
      </c>
      <c r="C27" s="22">
        <f>2*Ch_Days+2*An_Port</f>
        <v>42.5</v>
      </c>
      <c r="D27" s="11" t="s">
        <v>189</v>
      </c>
      <c r="E27" s="6" t="s">
        <v>486</v>
      </c>
    </row>
    <row r="28" spans="2:13" ht="17" customHeight="1">
      <c r="B28" s="9" t="s">
        <v>487</v>
      </c>
      <c r="C28" s="22">
        <f>IF(An_RT&gt;0,365*An_Avail/100/An_RT,0)</f>
        <v>7.72941176470588</v>
      </c>
      <c r="D28" s="11" t="s">
        <v>488</v>
      </c>
      <c r="E28" s="6" t="s">
        <v>489</v>
      </c>
    </row>
    <row r="30" spans="2:13" ht="17" customHeight="1">
      <c r="B30" s="7" t="s">
        <v>490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2:13" ht="30" customHeight="1">
      <c r="B31" s="24" t="s">
        <v>432</v>
      </c>
      <c r="C31" s="25" t="s">
        <v>491</v>
      </c>
      <c r="D31" s="25" t="s">
        <v>492</v>
      </c>
      <c r="E31" s="25" t="s">
        <v>493</v>
      </c>
      <c r="F31" s="25" t="s">
        <v>494</v>
      </c>
      <c r="G31" s="25" t="s">
        <v>495</v>
      </c>
      <c r="H31" s="25" t="s">
        <v>496</v>
      </c>
      <c r="I31" s="25" t="s">
        <v>497</v>
      </c>
      <c r="J31" s="25" t="s">
        <v>498</v>
      </c>
    </row>
    <row r="32" spans="2:13" ht="17" customHeight="1">
      <c r="B32" s="26" t="s">
        <v>248</v>
      </c>
      <c r="C32" s="27">
        <f>Ch_Del_L/1000</f>
        <v>2605.44</v>
      </c>
      <c r="D32" s="28">
        <f>An_T/Ch_Del_L</f>
        <v>38.3812331122574</v>
      </c>
      <c r="E32" s="27">
        <f>IF(An_VPS&gt;0,ROUNDUP(D32/An_VPS-0.000000001,0),0)</f>
        <v>5</v>
      </c>
      <c r="F32" s="33">
        <f>IF(An_VPS&gt;0,D32/An_VPS,0)</f>
        <v>4.96560854572585</v>
      </c>
      <c r="G32" s="28">
        <f>An_T*Ch_Hin_L/Ch_Del_L/1000000</f>
        <v>108.695652173913</v>
      </c>
      <c r="H32" s="28">
        <f>D32*Ship_CargoL/1000000</f>
        <v>108.695652173913</v>
      </c>
      <c r="I32" s="27">
        <f>D32*Ship_CargoL/1000/365</f>
        <v>297.796307325789</v>
      </c>
      <c r="J32" s="35" t="s">
        <v>248</v>
      </c>
    </row>
    <row r="33" spans="2:13" ht="17" customHeight="1">
      <c r="B33" s="26" t="s">
        <v>423</v>
      </c>
      <c r="C33" s="27">
        <f>Ch_Del_G/1000</f>
        <v>4196.92307692308</v>
      </c>
      <c r="D33" s="28">
        <f>An_T/Ch_Del_G</f>
        <v>23.8269794721408</v>
      </c>
      <c r="E33" s="27">
        <f>IF(An_VPS&gt;0,ROUNDUP(D33/An_VPS-0.000000001,0),0)</f>
        <v>4</v>
      </c>
      <c r="F33" s="33">
        <f>IF(An_VPS&gt;0,D33/An_VPS,0)</f>
        <v>3.08263813566509</v>
      </c>
      <c r="G33" s="28">
        <f>An_T*Ch_Hin_G/Ch_Del_G/1000000</f>
        <v>116.071428571429</v>
      </c>
      <c r="H33" s="28">
        <f>D33*Ship_CargoN/1000000</f>
        <v>650</v>
      </c>
      <c r="I33" s="27">
        <f>D33*Ship_CargoN/1000/365</f>
        <v>1780.82191780822</v>
      </c>
      <c r="J33" s="35" t="s">
        <v>249</v>
      </c>
    </row>
    <row r="34" spans="2:13" ht="17" customHeight="1">
      <c r="B34" s="26" t="s">
        <v>424</v>
      </c>
      <c r="C34" s="27">
        <f>Ch_Del_C/1000</f>
        <v>3788.88888888889</v>
      </c>
      <c r="D34" s="28">
        <f>An_T/Ch_Del_C</f>
        <v>26.3929618768328</v>
      </c>
      <c r="E34" s="27">
        <f>IF(An_VPS&gt;0,ROUNDUP(D34/An_VPS-0.000000001,0),0)</f>
        <v>4</v>
      </c>
      <c r="F34" s="33">
        <f>IF(An_VPS&gt;0,D34/An_VPS,0)</f>
        <v>3.41461455027518</v>
      </c>
      <c r="G34" s="28">
        <f>An_T*Ch_Hin_C/Ch_Del_C/1000000</f>
        <v>128.571428571429</v>
      </c>
      <c r="H34" s="28">
        <f>D34*Ship_CargoN/1000000</f>
        <v>720</v>
      </c>
      <c r="I34" s="27">
        <f>D34*Ship_CargoN/1000/365</f>
        <v>1972.60273972603</v>
      </c>
      <c r="J34" s="35" t="s">
        <v>249</v>
      </c>
    </row>
    <row r="35" spans="2:13" ht="17" customHeight="1">
      <c r="B35" s="23" t="str">
        <f>"Round trip "&amp;TEXT(An_RT,"0.0")&amp;" days (2 × "&amp;TEXT(Ch_Days,"0")&amp;" sea + 2 × "&amp;TEXT(An_Port,"0.00")&amp;" port). Each ship makes "&amp;TEXT(An_VPS,"0.00")&amp;" voyages a year at "&amp;TEXT(An_Avail,"0")&amp;" % availability."</f>
        <v>Round trip 42.5 days (2 × 20 sea + 2 × 1.25 port). Each ship makes 7.73 voyages a year at 90 % availability.</v>
      </c>
    </row>
    <row r="36" spans="2:13" ht="17" customHeight="1">
      <c r="B36" s="7" t="s">
        <v>499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2:13" ht="30" customHeight="1">
      <c r="B37" s="24" t="s">
        <v>422</v>
      </c>
      <c r="C37" s="25" t="s">
        <v>500</v>
      </c>
      <c r="D37" s="25" t="s">
        <v>501</v>
      </c>
      <c r="E37" s="25" t="s">
        <v>502</v>
      </c>
      <c r="F37" s="25" t="s">
        <v>501</v>
      </c>
      <c r="G37" s="25" t="s">
        <v>503</v>
      </c>
      <c r="H37" s="25" t="s">
        <v>501</v>
      </c>
    </row>
    <row r="38" spans="2:13" ht="17" customHeight="1">
      <c r="B38" s="26" t="s">
        <v>236</v>
      </c>
      <c r="C38" s="28">
        <f>Ch_El_L/Ch_Del_L*An_T/1000000</f>
        <v>0</v>
      </c>
      <c r="D38" s="28">
        <f>(C38)/8.76</f>
        <v>0</v>
      </c>
      <c r="E38" s="28">
        <f>Ch_El_G/Ch_Del_G*An_T/1000000</f>
        <v>0</v>
      </c>
      <c r="F38" s="28">
        <f>(E38)/8.76</f>
        <v>0</v>
      </c>
      <c r="G38" s="28">
        <f>Ch_El_C/Ch_Del_C*An_T/1000000</f>
        <v>0</v>
      </c>
      <c r="H38" s="28">
        <f>(G38)/8.76</f>
        <v>0</v>
      </c>
    </row>
    <row r="39" spans="2:13" ht="17" customHeight="1">
      <c r="B39" s="26" t="s">
        <v>237</v>
      </c>
      <c r="C39" s="28">
        <f>Ch_Liq_L/Ch_Del_L*An_T/1000000</f>
        <v>978.260869565217</v>
      </c>
      <c r="D39" s="28">
        <f>(C39)/8.76</f>
        <v>111.673615247171</v>
      </c>
      <c r="E39" s="28">
        <f>Ch_Liq_G/Ch_Del_G*An_T/1000000</f>
        <v>116.071428571429</v>
      </c>
      <c r="F39" s="28">
        <f>(E39)/8.76</f>
        <v>13.2501630789302</v>
      </c>
      <c r="G39" s="28">
        <f>Ch_Liq_C/Ch_Del_C*An_T/1000000</f>
        <v>128.571428571429</v>
      </c>
      <c r="H39" s="28">
        <f>(G39)/8.76</f>
        <v>14.6771037181996</v>
      </c>
    </row>
    <row r="40" spans="2:13" ht="17" customHeight="1">
      <c r="B40" s="26" t="s">
        <v>238</v>
      </c>
      <c r="C40" s="28">
        <f>Ch_Rl_L/Ch_Del_L*An_T/1000000</f>
        <v>3.21195652173913</v>
      </c>
      <c r="D40" s="28">
        <f>(C40)/8.76</f>
        <v>0.366661703394878</v>
      </c>
      <c r="E40" s="28">
        <f>Ch_Rl_G/Ch_Del_G*An_T/1000000</f>
        <v>0.609375</v>
      </c>
      <c r="F40" s="28">
        <f>(E40)/8.76</f>
        <v>0.0695633561643836</v>
      </c>
      <c r="G40" s="28">
        <f>Ch_Rl_C/Ch_Del_C*An_T/1000000</f>
        <v>0.675</v>
      </c>
      <c r="H40" s="28">
        <f>(G40)/8.76</f>
        <v>0.077054794520548</v>
      </c>
    </row>
    <row r="41" spans="2:13" ht="17" customHeight="1">
      <c r="B41" s="26" t="s">
        <v>442</v>
      </c>
      <c r="C41" s="28">
        <f>Ch_Ship_L/Ch_Del_L*An_T/1000000</f>
        <v>51.0982150167854</v>
      </c>
      <c r="D41" s="28">
        <f>(C41)/8.76</f>
        <v>5.83312956812619</v>
      </c>
      <c r="E41" s="28">
        <f>Ch_Ship_G/Ch_Del_G*An_T/1000000</f>
        <v>162.817693059629</v>
      </c>
      <c r="F41" s="28">
        <f>(E41)/8.76</f>
        <v>18.5864946415101</v>
      </c>
      <c r="G41" s="28">
        <f>Ch_Ship_C/Ch_Del_C*An_T/1000000</f>
        <v>180.351906158358</v>
      </c>
      <c r="H41" s="28">
        <f>(G41)/8.76</f>
        <v>20.588117141365</v>
      </c>
    </row>
    <row r="42" spans="2:13" ht="17" customHeight="1">
      <c r="B42" s="26" t="s">
        <v>426</v>
      </c>
      <c r="C42" s="28">
        <f>Ch_Cargo_L/Ch_Del_L*An_T/1000000</f>
        <v>289.855072463768</v>
      </c>
      <c r="D42" s="28">
        <f>(C42)/8.76</f>
        <v>33.0884785917544</v>
      </c>
      <c r="E42" s="28">
        <f>Ch_Cargo_G/Ch_Del_G*An_T/1000000</f>
        <v>0</v>
      </c>
      <c r="F42" s="28">
        <f>(E42)/8.76</f>
        <v>0</v>
      </c>
      <c r="G42" s="28">
        <f>Ch_Cargo_C/Ch_Del_C*An_T/1000000</f>
        <v>0</v>
      </c>
      <c r="H42" s="28">
        <f>(G42)/8.76</f>
        <v>0</v>
      </c>
    </row>
    <row r="43" spans="2:13" ht="17" customHeight="1">
      <c r="B43" s="26" t="s">
        <v>443</v>
      </c>
      <c r="C43" s="28">
        <f>Ch_Down_L/Ch_Del_L*An_T/1000000</f>
        <v>5.02819415056738</v>
      </c>
      <c r="D43" s="28">
        <f>(C43)/8.76</f>
        <v>0.573994766046505</v>
      </c>
      <c r="E43" s="28">
        <f>Ch_Down_G/Ch_Del_G*An_T/1000000</f>
        <v>856.072510619741</v>
      </c>
      <c r="F43" s="28">
        <f>(E43)/8.76</f>
        <v>97.7251724451759</v>
      </c>
      <c r="G43" s="28">
        <f>Ch_Down_C/Ch_Del_C*An_T/1000000</f>
        <v>856.116216891611</v>
      </c>
      <c r="H43" s="28">
        <f>(G43)/8.76</f>
        <v>97.7301617456177</v>
      </c>
    </row>
    <row r="44" spans="2:13" ht="17" customHeight="1">
      <c r="B44" s="30" t="s">
        <v>239</v>
      </c>
      <c r="C44" s="31">
        <f>SUM(C38:C43)</f>
        <v>1327.45430771808</v>
      </c>
      <c r="D44" s="31">
        <f>C44/8.76</f>
        <v>151.535879876493</v>
      </c>
      <c r="E44" s="31">
        <f>SUM(E38:E43)</f>
        <v>1135.5710072508</v>
      </c>
      <c r="F44" s="31">
        <f>E44/8.76</f>
        <v>129.631393521781</v>
      </c>
      <c r="G44" s="31">
        <f>SUM(G38:G43)</f>
        <v>1165.7145516214</v>
      </c>
      <c r="H44" s="31">
        <f>G44/8.76</f>
        <v>133.072437399703</v>
      </c>
    </row>
    <row r="46" spans="2:13" ht="17" customHeight="1">
      <c r="B46" s="7" t="s">
        <v>504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2:13" ht="30" customHeight="1">
      <c r="B47" s="24" t="s">
        <v>432</v>
      </c>
      <c r="C47" s="25" t="s">
        <v>505</v>
      </c>
      <c r="D47" s="25" t="s">
        <v>506</v>
      </c>
      <c r="E47" s="25" t="s">
        <v>507</v>
      </c>
      <c r="F47" s="25" t="s">
        <v>508</v>
      </c>
    </row>
    <row r="48" spans="2:13" ht="17" customHeight="1">
      <c r="B48" s="26" t="s">
        <v>248</v>
      </c>
      <c r="C48" s="27">
        <f>Ch_VlsfoL_t*D32</f>
        <v>4486.67253805921</v>
      </c>
      <c r="D48" s="27" t="s">
        <v>90</v>
      </c>
      <c r="E48" s="27">
        <f>Ch_BogKg/1000*D32</f>
        <v>8695.65217391304</v>
      </c>
      <c r="F48" s="35" t="s">
        <v>90</v>
      </c>
    </row>
    <row r="49" spans="2:13" ht="17" customHeight="1">
      <c r="B49" s="26" t="s">
        <v>423</v>
      </c>
      <c r="C49" s="27">
        <f>Ch_VlsfoN_t*D33</f>
        <v>714.809384164224</v>
      </c>
      <c r="D49" s="27">
        <f>IF(Ch_NH3FuelT&gt;0,Ch_NH3FuelT*D33,0)</f>
        <v>29937.4467883833</v>
      </c>
      <c r="E49" s="27" t="s">
        <v>90</v>
      </c>
      <c r="F49" s="35" t="str">
        <f>IF(Ch_DF=1,IF(Ch_FromCargo=1,"cargo","bunkers"),"–")</f>
        <v>bunkers</v>
      </c>
    </row>
    <row r="50" spans="2:13" ht="17" customHeight="1">
      <c r="B50" s="26" t="s">
        <v>424</v>
      </c>
      <c r="C50" s="27">
        <f>Ch_VlsfoN_t*D34</f>
        <v>791.788856304986</v>
      </c>
      <c r="D50" s="27">
        <f>IF(Ch_NH3FuelT&gt;0,Ch_NH3FuelT*D34,0)</f>
        <v>33161.47951944</v>
      </c>
      <c r="E50" s="27" t="s">
        <v>90</v>
      </c>
      <c r="F50" s="35" t="str">
        <f>IF(Ch_DF=1,IF(Ch_FromCargo=1,"cargo","bunkers"),"–")</f>
        <v>bunkers</v>
      </c>
    </row>
    <row r="53" spans="2:13" ht="17" customHeight="1">
      <c r="B53" s="7" t="s">
        <v>509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2:13" ht="30" customHeight="1">
      <c r="B54" s="24" t="s">
        <v>445</v>
      </c>
      <c r="C54" s="25" t="s">
        <v>386</v>
      </c>
      <c r="D54" s="25" t="s">
        <v>423</v>
      </c>
      <c r="E54" s="25" t="s">
        <v>424</v>
      </c>
    </row>
    <row r="55" spans="2:13" ht="17" customHeight="1">
      <c r="B55" s="26" t="s">
        <v>236</v>
      </c>
      <c r="C55" s="28">
        <f>Stg_El_L/Ch_Del_L*An_T/1000000</f>
        <v>0</v>
      </c>
      <c r="D55" s="28">
        <f>Stg_El_G/Ch_Del_G*An_T/1000000</f>
        <v>0</v>
      </c>
      <c r="E55" s="28">
        <f>Stg_El_C/Ch_Del_C*An_T/1000000</f>
        <v>0</v>
      </c>
    </row>
    <row r="56" spans="2:13" ht="17" customHeight="1">
      <c r="B56" s="26" t="s">
        <v>446</v>
      </c>
      <c r="C56" s="28">
        <f>Stg_Up_L/Ch_Del_L*An_T/1000000</f>
        <v>981.472826086957</v>
      </c>
      <c r="D56" s="28">
        <f>Stg_Up_G/Ch_Del_G*An_T/1000000</f>
        <v>116.680803571429</v>
      </c>
      <c r="E56" s="28">
        <f>Stg_Up_C/Ch_Del_C*An_T/1000000</f>
        <v>129.246428571429</v>
      </c>
    </row>
    <row r="57" spans="2:13" ht="17" customHeight="1">
      <c r="B57" s="26" t="s">
        <v>447</v>
      </c>
      <c r="C57" s="28">
        <f>Stg_Sh_L/Ch_Del_L*An_T/1000000</f>
        <v>51.0982150167854</v>
      </c>
      <c r="D57" s="28">
        <f>Stg_Sh_G/Ch_Del_G*An_T/1000000</f>
        <v>162.817693059629</v>
      </c>
      <c r="E57" s="28">
        <f>Stg_Sh_C/Ch_Del_C*An_T/1000000</f>
        <v>180.351906158358</v>
      </c>
    </row>
    <row r="58" spans="2:13" ht="17" customHeight="1">
      <c r="B58" s="26" t="s">
        <v>448</v>
      </c>
      <c r="C58" s="28">
        <f>Stg_ShH_L/Ch_Del_L*An_T/1000000</f>
        <v>289.855072463768</v>
      </c>
      <c r="D58" s="28">
        <f>Stg_ShH_G/Ch_Del_G*An_T/1000000</f>
        <v>0</v>
      </c>
      <c r="E58" s="28">
        <f>Stg_ShH_C/Ch_Del_C*An_T/1000000</f>
        <v>0</v>
      </c>
    </row>
    <row r="59" spans="2:13" ht="17" customHeight="1">
      <c r="B59" s="26" t="s">
        <v>449</v>
      </c>
      <c r="C59" s="28">
        <f>Stg_Dn_L/Ch_Del_L*An_T/1000000</f>
        <v>5.02819415056738</v>
      </c>
      <c r="D59" s="28">
        <f>Stg_Dn_G/Ch_Del_G*An_T/1000000</f>
        <v>856.072510619741</v>
      </c>
      <c r="E59" s="28">
        <f>Stg_Dn_C/Ch_Del_C*An_T/1000000</f>
        <v>856.116216891611</v>
      </c>
    </row>
    <row r="60" spans="2:13" ht="17" customHeight="1">
      <c r="B60" s="30" t="s">
        <v>510</v>
      </c>
      <c r="C60" s="31">
        <f>An_E_L</f>
        <v>1327.45430771808</v>
      </c>
      <c r="D60" s="31">
        <f>An_E_G</f>
        <v>1135.5710072508</v>
      </c>
      <c r="E60" s="31">
        <f>An_E_C</f>
        <v>1165.7145516214</v>
      </c>
    </row>
    <row r="62" spans="2:13" ht="17" customHeight="1">
      <c r="B62" s="23" t="str">
        <f>INDEX({"LH2","NH3 NG-fired","NH3 clean fuel"},MATCH(MIN(An_Es),An_Es,0))&amp;" needs the least: "&amp;TEXT(MIN(An_Es),"#,##0")&amp;" GWh/y, "&amp;TEXT(MAX(An_Es)-MIN(An_Es),"#,##0")&amp;" GWh/y less than the worst chain"</f>
        <v>NH3 NG-fired needs the least: 1,136 GWh/y, 192 GWh/y less than the worst chain</v>
      </c>
    </row>
    <row r="63" spans="2:13" ht="17" customHeight="1">
      <c r="B63" s="23" t="str">
        <f>"Energy, GWh per year at "&amp;TEXT(An_Target,"#,##0")&amp;" ktpa delivered"</f>
        <v>Energy, GWh per year at 100 ktpa delivered</v>
      </c>
    </row>
    <row r="64" spans="2:13" ht="17" customHeight="1">
      <c r="B64" s="23" t="str">
        <f>"GWh/y"</f>
        <v>GWh/y</v>
      </c>
    </row>
    <row r="66" spans="2:15" ht="17" customHeight="1">
      <c r="B66" s="7" t="s">
        <v>511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2:15" ht="42" customHeight="1">
      <c r="B67" s="24" t="s">
        <v>251</v>
      </c>
      <c r="C67" s="25" t="s">
        <v>236</v>
      </c>
      <c r="D67" s="25" t="s">
        <v>446</v>
      </c>
      <c r="E67" s="25" t="s">
        <v>447</v>
      </c>
      <c r="F67" s="25" t="s">
        <v>448</v>
      </c>
      <c r="G67" s="25" t="s">
        <v>449</v>
      </c>
      <c r="H67" s="25" t="s">
        <v>239</v>
      </c>
      <c r="I67" s="25" t="s">
        <v>252</v>
      </c>
      <c r="J67" s="25" t="s">
        <v>253</v>
      </c>
      <c r="K67" s="25" t="s">
        <v>451</v>
      </c>
      <c r="L67" s="25" t="s">
        <v>452</v>
      </c>
      <c r="M67" s="25" t="s">
        <v>453</v>
      </c>
      <c r="N67" s="25" t="s">
        <v>454</v>
      </c>
      <c r="O67" s="25" t="s">
        <v>257</v>
      </c>
    </row>
    <row r="68" spans="2:15" ht="17" customHeight="1">
      <c r="B68" s="34" t="s">
        <v>388</v>
      </c>
      <c r="C68" s="35">
        <f>Stg_El_C/Ch_Del_C*An_T/1000000</f>
        <v>0</v>
      </c>
      <c r="D68" s="35">
        <f>Stg_Up_C/Ch_Del_C*An_T/1000000</f>
        <v>129.246428571429</v>
      </c>
      <c r="E68" s="35">
        <f>Stg_Sh_C/Ch_Del_C*An_T/1000000</f>
        <v>180.351906158358</v>
      </c>
      <c r="F68" s="35">
        <f>Stg_ShH_C/Ch_Del_C*An_T/1000000</f>
        <v>0</v>
      </c>
      <c r="G68" s="35">
        <f>Stg_Dn_C/Ch_Del_C*An_T/1000000</f>
        <v>856.116216891611</v>
      </c>
      <c r="H68" s="35">
        <f>SUM(C68:G68)</f>
        <v>1165.7145516214</v>
      </c>
      <c r="I68" s="35">
        <f>0.3*MAX($H$68:$H$70)</f>
        <v>398.236292315423</v>
      </c>
      <c r="J68" s="35">
        <f>IF(C68&lt;0.04*MAX($H$68:$H$70),"",TEXT(C68,IF(C68&lt;0.1,"0.000",IF(C68&lt;100,"0.0","#,##0"))))</f>
        <v/>
      </c>
      <c r="K68" s="35" t="str">
        <f>IF(D68&lt;0.04*MAX($H$68:$H$70),"",TEXT(D68,IF(D68&lt;0.1,"0.000",IF(D68&lt;100,"0.0","#,##0"))))</f>
        <v>129</v>
      </c>
      <c r="L68" s="35" t="str">
        <f>IF(E68&lt;0.04*MAX($H$68:$H$70),"",TEXT(E68,IF(E68&lt;0.1,"0.000",IF(E68&lt;100,"0.0","#,##0"))))</f>
        <v>180</v>
      </c>
      <c r="M68" s="35">
        <f>IF(F68&lt;0.04*MAX($H$68:$H$70),"",TEXT(F68,IF(F68&lt;0.1,"0.000",IF(F68&lt;100,"0.0","#,##0"))))</f>
        <v/>
      </c>
      <c r="N68" s="35" t="str">
        <f>IF(G68&lt;0.04*MAX($H$68:$H$70),"",TEXT(G68,IF(G68&lt;0.1,"0.000",IF(G68&lt;100,"0.0","#,##0"))))</f>
        <v>856</v>
      </c>
      <c r="O68" s="35" t="str">
        <f>TEXT(H68,IF(H68&lt;0.1,"0.000",IF(H68&lt;100,"0.0","#,##0")))&amp;" "&amp;An_Unit</f>
        <v>1,166 GWh/y</v>
      </c>
    </row>
    <row r="69" spans="2:15" ht="17" customHeight="1">
      <c r="B69" s="34" t="s">
        <v>387</v>
      </c>
      <c r="C69" s="35">
        <f>Stg_El_G/Ch_Del_G*An_T/1000000</f>
        <v>0</v>
      </c>
      <c r="D69" s="35">
        <f>Stg_Up_G/Ch_Del_G*An_T/1000000</f>
        <v>116.680803571429</v>
      </c>
      <c r="E69" s="35">
        <f>Stg_Sh_G/Ch_Del_G*An_T/1000000</f>
        <v>162.817693059629</v>
      </c>
      <c r="F69" s="35">
        <f>Stg_ShH_G/Ch_Del_G*An_T/1000000</f>
        <v>0</v>
      </c>
      <c r="G69" s="35">
        <f>Stg_Dn_G/Ch_Del_G*An_T/1000000</f>
        <v>856.072510619741</v>
      </c>
      <c r="H69" s="35">
        <f>SUM(C69:G69)</f>
        <v>1135.5710072508</v>
      </c>
      <c r="I69" s="35">
        <f>0.3*MAX($H$68:$H$70)</f>
        <v>398.236292315423</v>
      </c>
      <c r="J69" s="35">
        <f>IF(C69&lt;0.04*MAX($H$68:$H$70),"",TEXT(C69,IF(C69&lt;0.1,"0.000",IF(C69&lt;100,"0.0","#,##0"))))</f>
        <v/>
      </c>
      <c r="K69" s="35" t="str">
        <f>IF(D69&lt;0.04*MAX($H$68:$H$70),"",TEXT(D69,IF(D69&lt;0.1,"0.000",IF(D69&lt;100,"0.0","#,##0"))))</f>
        <v>117</v>
      </c>
      <c r="L69" s="35" t="str">
        <f>IF(E69&lt;0.04*MAX($H$68:$H$70),"",TEXT(E69,IF(E69&lt;0.1,"0.000",IF(E69&lt;100,"0.0","#,##0"))))</f>
        <v>163</v>
      </c>
      <c r="M69" s="35">
        <f>IF(F69&lt;0.04*MAX($H$68:$H$70),"",TEXT(F69,IF(F69&lt;0.1,"0.000",IF(F69&lt;100,"0.0","#,##0"))))</f>
        <v/>
      </c>
      <c r="N69" s="35" t="str">
        <f>IF(G69&lt;0.04*MAX($H$68:$H$70),"",TEXT(G69,IF(G69&lt;0.1,"0.000",IF(G69&lt;100,"0.0","#,##0"))))</f>
        <v>856</v>
      </c>
      <c r="O69" s="35" t="str">
        <f>TEXT(H69,IF(H69&lt;0.1,"0.000",IF(H69&lt;100,"0.0","#,##0")))&amp;" "&amp;An_Unit</f>
        <v>1,136 GWh/y</v>
      </c>
    </row>
    <row r="70" spans="2:15" ht="17" customHeight="1">
      <c r="B70" s="34" t="s">
        <v>386</v>
      </c>
      <c r="C70" s="35">
        <f>Stg_El_L/Ch_Del_L*An_T/1000000</f>
        <v>0</v>
      </c>
      <c r="D70" s="35">
        <f>Stg_Up_L/Ch_Del_L*An_T/1000000</f>
        <v>981.472826086957</v>
      </c>
      <c r="E70" s="35">
        <f>Stg_Sh_L/Ch_Del_L*An_T/1000000</f>
        <v>51.0982150167854</v>
      </c>
      <c r="F70" s="35">
        <f>Stg_ShH_L/Ch_Del_L*An_T/1000000</f>
        <v>289.855072463768</v>
      </c>
      <c r="G70" s="35">
        <f>Stg_Dn_L/Ch_Del_L*An_T/1000000</f>
        <v>5.02819415056738</v>
      </c>
      <c r="H70" s="35">
        <f>SUM(C70:G70)</f>
        <v>1327.45430771808</v>
      </c>
      <c r="I70" s="35">
        <f>0.3*MAX($H$68:$H$70)</f>
        <v>398.236292315423</v>
      </c>
      <c r="J70" s="35">
        <f>IF(C70&lt;0.04*MAX($H$68:$H$70),"",TEXT(C70,IF(C70&lt;0.1,"0.000",IF(C70&lt;100,"0.0","#,##0"))))</f>
        <v/>
      </c>
      <c r="K70" s="35" t="str">
        <f>IF(D70&lt;0.04*MAX($H$68:$H$70),"",TEXT(D70,IF(D70&lt;0.1,"0.000",IF(D70&lt;100,"0.0","#,##0"))))</f>
        <v>981</v>
      </c>
      <c r="L70" s="35">
        <f>IF(E70&lt;0.04*MAX($H$68:$H$70),"",TEXT(E70,IF(E70&lt;0.1,"0.000",IF(E70&lt;100,"0.0","#,##0"))))</f>
        <v/>
      </c>
      <c r="M70" s="35" t="str">
        <f>IF(F70&lt;0.04*MAX($H$68:$H$70),"",TEXT(F70,IF(F70&lt;0.1,"0.000",IF(F70&lt;100,"0.0","#,##0"))))</f>
        <v>290</v>
      </c>
      <c r="N70" s="35">
        <f>IF(G70&lt;0.04*MAX($H$68:$H$70),"",TEXT(G70,IF(G70&lt;0.1,"0.000",IF(G70&lt;100,"0.0","#,##0"))))</f>
        <v/>
      </c>
      <c r="O70" s="35" t="str">
        <f>TEXT(H70,IF(H70&lt;0.1,"0.000",IF(H70&lt;100,"0.0","#,##0")))&amp;" "&amp;An_Unit</f>
        <v>1,327 GWh/y</v>
      </c>
    </row>
    <row r="73" spans="2:15" ht="17" customHeight="1">
      <c r="B73" s="7" t="s">
        <v>131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2:15" ht="17" customHeight="1">
      <c r="B74" s="6" t="s">
        <v>512</v>
      </c>
    </row>
    <row r="75" spans="2:15" ht="17" customHeight="1">
      <c r="B75" s="6" t="s">
        <v>513</v>
      </c>
    </row>
    <row r="76" spans="2:15" ht="17" customHeight="1">
      <c r="B76" s="6" t="s">
        <v>514</v>
      </c>
    </row>
    <row r="77" spans="2:15" ht="17" customHeight="1">
      <c r="B77" s="6" t="s">
        <v>515</v>
      </c>
    </row>
    <row r="78" spans="2:15" ht="17" customHeight="1">
      <c r="B78" s="6" t="s">
        <v>516</v>
      </c>
    </row>
    <row r="79" spans="2:15" ht="17" customHeight="1">
      <c r="B79" s="6" t="s">
        <v>517</v>
      </c>
    </row>
  </sheetData>
  <mergeCells count="9">
    <mergeCell ref="B2:P2"/>
    <mergeCell ref="B3:P3"/>
    <mergeCell ref="B4:P4"/>
    <mergeCell ref="B5:P5"/>
    <mergeCell ref="B6:P6"/>
    <mergeCell ref="C14:D14"/>
    <mergeCell ref="C15:D15"/>
    <mergeCell ref="C16:D16"/>
    <mergeCell ref="C17:D17"/>
  </mergeCells>
  <pageMargins left="0.7" right="0.7" top="0.75" bottom="0.75" header="0.3" footer="0.3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5758B"/>
    <pageSetUpPr fitToPage="1"/>
  </sheetPr>
  <dimension ref="B1:Q324"/>
  <sheetViews>
    <sheetView showGridLines="0" zoomScale="90" zoomScaleNormal="90" workbookViewId="0"/>
  </sheetViews>
  <sheetFormatPr defaultRowHeight="17" customHeight="1"/>
  <cols>
    <col min="1" max="1" width="2.7109375" customWidth="1"/>
    <col min="2" max="2" width="42.7109375" customWidth="1"/>
    <col min="3" max="31" width="14.7109375" customWidth="1"/>
  </cols>
  <sheetData>
    <row r="1" spans="2:16" ht="17" customHeight="1">
      <c r="B1" s="1" t="s">
        <v>0</v>
      </c>
    </row>
    <row r="2" spans="2:16" ht="30" customHeight="1">
      <c r="B2" s="2" t="s">
        <v>518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6" customHeight="1">
      <c r="B3" s="3" t="s">
        <v>519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34" customHeight="1">
      <c r="B4" s="4" t="s">
        <v>520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" customHeight="1">
      <c r="B5" s="5" t="s">
        <v>521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 ht="17" customHeight="1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8" spans="2:16" ht="17" customHeight="1">
      <c r="B8" s="7" t="s">
        <v>522</v>
      </c>
      <c r="C8" s="8"/>
      <c r="D8" s="8"/>
      <c r="E8" s="8"/>
      <c r="F8" s="8"/>
      <c r="G8" s="8"/>
    </row>
    <row r="9" spans="2:16" ht="17" customHeight="1">
      <c r="B9" s="9" t="s">
        <v>523</v>
      </c>
      <c r="C9" s="12">
        <v>140</v>
      </c>
      <c r="D9" s="11" t="s">
        <v>524</v>
      </c>
      <c r="E9" s="6" t="s">
        <v>37</v>
      </c>
    </row>
    <row r="10" spans="2:16" ht="17" customHeight="1">
      <c r="B10" s="9" t="s">
        <v>525</v>
      </c>
      <c r="C10" s="12">
        <v>140</v>
      </c>
      <c r="D10" s="11" t="s">
        <v>524</v>
      </c>
      <c r="E10" s="6" t="s">
        <v>526</v>
      </c>
    </row>
    <row r="11" spans="2:16" ht="17" customHeight="1">
      <c r="B11" s="9" t="s">
        <v>527</v>
      </c>
      <c r="C11" s="12">
        <v>553</v>
      </c>
      <c r="D11" s="11" t="s">
        <v>33</v>
      </c>
      <c r="E11" s="6" t="s">
        <v>37</v>
      </c>
    </row>
    <row r="12" spans="2:16" ht="17" customHeight="1">
      <c r="B12" s="9" t="s">
        <v>528</v>
      </c>
      <c r="C12" s="18">
        <v>13</v>
      </c>
      <c r="D12" s="11" t="s">
        <v>529</v>
      </c>
      <c r="E12" s="6" t="s">
        <v>37</v>
      </c>
    </row>
    <row r="13" spans="2:16" ht="17" customHeight="1">
      <c r="B13" s="9" t="s">
        <v>530</v>
      </c>
      <c r="C13" s="12">
        <v>700</v>
      </c>
      <c r="D13" s="11" t="s">
        <v>531</v>
      </c>
      <c r="E13" s="6" t="s">
        <v>37</v>
      </c>
    </row>
    <row r="14" spans="2:16" ht="17" customHeight="1">
      <c r="B14" s="9" t="s">
        <v>532</v>
      </c>
      <c r="C14" s="19">
        <v>4</v>
      </c>
      <c r="D14" s="11" t="s">
        <v>19</v>
      </c>
      <c r="E14" s="6" t="s">
        <v>533</v>
      </c>
    </row>
    <row r="15" spans="2:16" ht="17" customHeight="1">
      <c r="B15" s="9" t="s">
        <v>534</v>
      </c>
      <c r="C15" s="60">
        <v>1055.056</v>
      </c>
      <c r="D15" s="11" t="s">
        <v>535</v>
      </c>
      <c r="E15" s="6" t="s">
        <v>536</v>
      </c>
    </row>
    <row r="16" spans="2:16" ht="17" customHeight="1">
      <c r="B16" s="7" t="s">
        <v>195</v>
      </c>
      <c r="C16" s="8"/>
      <c r="D16" s="8"/>
      <c r="E16" s="8"/>
      <c r="F16" s="8"/>
      <c r="G16" s="8"/>
    </row>
    <row r="17" spans="2:13" ht="17" customHeight="1">
      <c r="B17" s="9" t="s">
        <v>537</v>
      </c>
      <c r="C17" s="10" t="s">
        <v>538</v>
      </c>
      <c r="D17" s="11" t="s">
        <v>66</v>
      </c>
      <c r="E17" s="6" t="s">
        <v>539</v>
      </c>
    </row>
    <row r="18" spans="2:13" ht="17" customHeight="1">
      <c r="B18" s="7" t="s">
        <v>540</v>
      </c>
      <c r="C18" s="8"/>
      <c r="D18" s="8"/>
      <c r="E18" s="8"/>
      <c r="F18" s="8"/>
      <c r="G18" s="8"/>
    </row>
    <row r="19" spans="2:13" ht="17" customHeight="1">
      <c r="B19" s="9" t="s">
        <v>541</v>
      </c>
      <c r="C19" s="16">
        <f>An_Target</f>
        <v>100</v>
      </c>
      <c r="D19" s="11" t="s">
        <v>469</v>
      </c>
      <c r="E19" s="6" t="s">
        <v>542</v>
      </c>
    </row>
    <row r="20" spans="2:13" ht="17" customHeight="1">
      <c r="B20" s="9" t="s">
        <v>396</v>
      </c>
      <c r="C20" s="54" t="str">
        <f>Ch_Fuel</f>
        <v>Dual fuel NH3/VLSFO</v>
      </c>
      <c r="D20" s="11" t="s">
        <v>66</v>
      </c>
      <c r="E20" s="6" t="s">
        <v>477</v>
      </c>
    </row>
    <row r="21" spans="2:13" ht="17" customHeight="1">
      <c r="B21" s="9" t="s">
        <v>543</v>
      </c>
      <c r="C21" s="54" t="str">
        <f>Ch_Src</f>
        <v>Bunkered</v>
      </c>
      <c r="D21" s="11" t="s">
        <v>66</v>
      </c>
      <c r="E21" s="6" t="s">
        <v>477</v>
      </c>
    </row>
    <row r="22" spans="2:13" ht="17" customHeight="1">
      <c r="B22" s="9" t="s">
        <v>479</v>
      </c>
      <c r="C22" s="54" t="str">
        <f>Up_ElzOn</f>
        <v>No</v>
      </c>
      <c r="D22" s="11" t="s">
        <v>66</v>
      </c>
      <c r="E22" s="6" t="s">
        <v>404</v>
      </c>
    </row>
    <row r="24" spans="2:13" ht="17" customHeight="1">
      <c r="B24" s="7" t="s">
        <v>6</v>
      </c>
      <c r="C24" s="8"/>
      <c r="D24" s="8"/>
      <c r="E24" s="8"/>
      <c r="F24" s="8"/>
      <c r="G24" s="8"/>
    </row>
    <row r="25" spans="2:13" ht="17" customHeight="1">
      <c r="B25" s="9" t="s">
        <v>386</v>
      </c>
      <c r="C25" s="41">
        <f>Ec_Cost_L</f>
        <v>1.61343970927056</v>
      </c>
      <c r="D25" s="11" t="s">
        <v>544</v>
      </c>
      <c r="E25" s="6" t="str">
        <f>TEXT(Ec_Cost_L*Ec_Q_L/1000000,"#,##0.0")&amp;" USD M/y · "&amp;TEXT(Ec_Q_L/1000000,"#,##0.0")&amp;" ktpa on this basis"</f>
        <v>175.4 USD M/y · 108.7 ktpa on this basis</v>
      </c>
    </row>
    <row r="26" spans="2:13" ht="17" customHeight="1">
      <c r="B26" s="9" t="s">
        <v>545</v>
      </c>
      <c r="C26" s="41">
        <f>Ec_Cost_G</f>
        <v>1.0411380717848</v>
      </c>
      <c r="D26" s="11" t="s">
        <v>544</v>
      </c>
      <c r="E26" s="6" t="str">
        <f>TEXT(Ec_Cost_G*Ec_Q_G/1000000,"#,##0.0")&amp;" USD M/y · "&amp;TEXT(Ec_Q_G/1000000,"#,##0.0")&amp;" ktpa on this basis"</f>
        <v>120.8 USD M/y · 116.1 ktpa on this basis</v>
      </c>
    </row>
    <row r="27" spans="2:13" ht="17" customHeight="1">
      <c r="B27" s="9" t="s">
        <v>546</v>
      </c>
      <c r="C27" s="41">
        <f>Ec_Cost_C</f>
        <v>1.22786480392051</v>
      </c>
      <c r="D27" s="11" t="s">
        <v>544</v>
      </c>
      <c r="E27" s="6" t="str">
        <f>TEXT(Ec_Cost_C*Ec_Q_C/1000000,"#,##0.0")&amp;" USD M/y · "&amp;TEXT(Ec_Q_C/1000000,"#,##0.0")&amp;" ktpa on this basis"</f>
        <v>157.9 USD M/y · 128.6 ktpa on this basis</v>
      </c>
    </row>
    <row r="28" spans="2:13" ht="17" customHeight="1">
      <c r="B28" s="9" t="s">
        <v>547</v>
      </c>
      <c r="C28" s="41">
        <f>Ec_Cost_L-Ec_Cost_G</f>
        <v>0.57230163748576</v>
      </c>
      <c r="D28" s="11" t="s">
        <v>19</v>
      </c>
      <c r="E28" s="6" t="str">
        <f>TEXT((Ec_Cost_L*Ec_Q_L-Ec_Cost_G*Ec_Q_G)/1000000,"#,##0.0")&amp;" USD M/y"</f>
        <v>54.5 USD M/y</v>
      </c>
    </row>
    <row r="29" spans="2:13" ht="17" customHeight="1">
      <c r="B29" s="9" t="s">
        <v>548</v>
      </c>
      <c r="C29" s="13">
        <f>Ec_BE_G</f>
        <v>-3.153770468572</v>
      </c>
      <c r="D29" s="11" t="s">
        <v>19</v>
      </c>
      <c r="E29" s="6" t="s">
        <v>549</v>
      </c>
    </row>
    <row r="30" spans="2:13" ht="17" customHeight="1">
      <c r="B30" s="9" t="s">
        <v>550</v>
      </c>
      <c r="C30" s="13">
        <f>Ec_BE_C</f>
        <v>-0.819686316875656</v>
      </c>
      <c r="D30" s="11" t="s">
        <v>19</v>
      </c>
      <c r="E30" s="6" t="s">
        <v>551</v>
      </c>
    </row>
    <row r="32" spans="2:13" ht="17" customHeight="1">
      <c r="B32" s="7" t="s">
        <v>552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2:13" ht="30" customHeight="1">
      <c r="B33" s="24" t="s">
        <v>553</v>
      </c>
      <c r="C33" s="25" t="s">
        <v>554</v>
      </c>
      <c r="D33" s="25" t="s">
        <v>555</v>
      </c>
      <c r="E33" s="25" t="s">
        <v>556</v>
      </c>
      <c r="F33" s="25" t="s">
        <v>557</v>
      </c>
    </row>
    <row r="34" spans="2:13" ht="17" customHeight="1">
      <c r="B34" s="26" t="s">
        <v>558</v>
      </c>
      <c r="C34" s="28">
        <f>(Ch_El_L+Ch_Liq_L+Ch_Rl_L)/1000</f>
        <v>25571.6856</v>
      </c>
      <c r="D34" s="28">
        <f>(Ch_El_G+Ch_Liq_G+Ch_Rl_G)/1000</f>
        <v>4897.00357142857</v>
      </c>
      <c r="E34" s="28">
        <f>(Ch_El_C+Ch_Liq_C+Ch_Rl_C)/1000</f>
        <v>4897.00357142857</v>
      </c>
      <c r="F34" s="33">
        <f>Ec_Up</f>
        <v>140</v>
      </c>
    </row>
    <row r="35" spans="2:13" ht="17" customHeight="1">
      <c r="B35" s="26" t="s">
        <v>559</v>
      </c>
      <c r="C35" s="28">
        <f>Ch_VlsfoL_t</f>
        <v>116.89756097561</v>
      </c>
      <c r="D35" s="28">
        <f>Ch_VlsfoN_t</f>
        <v>30</v>
      </c>
      <c r="E35" s="28">
        <f>Ch_VlsfoN_t</f>
        <v>30</v>
      </c>
      <c r="F35" s="33">
        <f>Ec_V</f>
        <v>553</v>
      </c>
    </row>
    <row r="36" spans="2:13" ht="17" customHeight="1">
      <c r="B36" s="26" t="s">
        <v>560</v>
      </c>
      <c r="C36" s="28">
        <f>0</f>
        <v>0</v>
      </c>
      <c r="D36" s="28">
        <f>Ch_NH3FuelT+(Dn_FeedNG-Dn_Stoich)*(Ship_CargoN/Dn_FeedNG*Ch_Sc)/1000</f>
        <v>5033.682382134</v>
      </c>
      <c r="E36" s="28">
        <f>Ch_NH3FuelT+(Dn_FeedCl-Dn_Stoich)*(Ship_CargoN/Dn_FeedCl*Ch_Sc)/1000</f>
        <v>7318.67383512545</v>
      </c>
      <c r="F36" s="33">
        <f>Ec_N</f>
        <v>700</v>
      </c>
    </row>
    <row r="37" spans="2:13" ht="17" customHeight="1">
      <c r="B37" s="26" t="s">
        <v>561</v>
      </c>
      <c r="C37" s="28">
        <f>0</f>
        <v>0</v>
      </c>
      <c r="D37" s="28">
        <f>(Dn_FeedCl-Dn_FeedNG)*(Ship_CargoN/Dn_FeedNG*Ch_Sc)*Ship_LHV_N/Ec_MMBtu</f>
        <v>51792.4531603427</v>
      </c>
      <c r="E37" s="28">
        <f>0</f>
        <v>0</v>
      </c>
      <c r="F37" s="33">
        <f>Ec_NG</f>
        <v>13</v>
      </c>
    </row>
    <row r="38" spans="2:13" ht="17" customHeight="1">
      <c r="B38" s="26" t="s">
        <v>562</v>
      </c>
      <c r="C38" s="28">
        <f>Dn_RegasPerKg*Ch_DelL/1000</f>
        <v>131.006581676543</v>
      </c>
      <c r="D38" s="28">
        <f>(Dn_Elec*(Ship_CargoN/Dn_FeedNG*Ch_Sc)+Dn_TankN*Ch_Sc)/1000</f>
        <v>1234.14065083056</v>
      </c>
      <c r="E38" s="28">
        <f>(Dn_Elec*(Ship_CargoN/Dn_FeedCl*Ch_Sc)+Dn_TankN*Ch_Sc)/1000</f>
        <v>1115.81073630065</v>
      </c>
      <c r="F38" s="33">
        <f>Ec_Dn</f>
        <v>140</v>
      </c>
    </row>
    <row r="39" spans="2:13" ht="17" customHeight="1">
      <c r="B39" s="26" t="s">
        <v>563</v>
      </c>
      <c r="C39" s="28">
        <f>Ch_BogKg</f>
        <v>226560</v>
      </c>
      <c r="D39" s="28">
        <f>0</f>
        <v>0</v>
      </c>
      <c r="E39" s="28">
        <f>0</f>
        <v>0</v>
      </c>
      <c r="F39" s="33">
        <f>Ec_H2</f>
        <v>4</v>
      </c>
    </row>
    <row r="41" spans="2:13" ht="17" customHeight="1">
      <c r="B41" s="7" t="s">
        <v>564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2:13" ht="30" customHeight="1">
      <c r="B42" s="24" t="s">
        <v>231</v>
      </c>
      <c r="C42" s="25" t="s">
        <v>248</v>
      </c>
      <c r="D42" s="25" t="s">
        <v>565</v>
      </c>
      <c r="E42" s="25" t="s">
        <v>566</v>
      </c>
    </row>
    <row r="43" spans="2:13" ht="17" customHeight="1">
      <c r="B43" s="26" t="s">
        <v>523</v>
      </c>
      <c r="C43" s="27">
        <f>C34*$F34</f>
        <v>3580035.984</v>
      </c>
      <c r="D43" s="27">
        <f>D34*$F34</f>
        <v>685580.5</v>
      </c>
      <c r="E43" s="27">
        <f>E34*$F34</f>
        <v>685580.5</v>
      </c>
    </row>
    <row r="44" spans="2:13" ht="17" customHeight="1">
      <c r="B44" s="26" t="s">
        <v>527</v>
      </c>
      <c r="C44" s="27">
        <f>C35*$F35</f>
        <v>64644.3512195123</v>
      </c>
      <c r="D44" s="27">
        <f>D35*$F35</f>
        <v>16590</v>
      </c>
      <c r="E44" s="27">
        <f>E35*$F35</f>
        <v>16590</v>
      </c>
    </row>
    <row r="45" spans="2:13" ht="17" customHeight="1">
      <c r="B45" s="26" t="s">
        <v>567</v>
      </c>
      <c r="C45" s="27">
        <f>C36*$F36</f>
        <v>0</v>
      </c>
      <c r="D45" s="27">
        <f>D36*$F36</f>
        <v>3523577.6674938</v>
      </c>
      <c r="E45" s="27">
        <f>E36*$F36</f>
        <v>5123071.68458782</v>
      </c>
    </row>
    <row r="46" spans="2:13" ht="17" customHeight="1">
      <c r="B46" s="26" t="s">
        <v>568</v>
      </c>
      <c r="C46" s="27">
        <f>C37*$F37</f>
        <v>0</v>
      </c>
      <c r="D46" s="27">
        <f>D37*$F37</f>
        <v>673301.891084455</v>
      </c>
      <c r="E46" s="27">
        <f>E37*$F37</f>
        <v>0</v>
      </c>
    </row>
    <row r="47" spans="2:13" ht="17" customHeight="1">
      <c r="B47" s="26" t="s">
        <v>525</v>
      </c>
      <c r="C47" s="27">
        <f>C38*$F38</f>
        <v>18340.921434716</v>
      </c>
      <c r="D47" s="27">
        <f>D38*$F38</f>
        <v>172779.691116278</v>
      </c>
      <c r="E47" s="27">
        <f>E38*$F38</f>
        <v>156213.50308209</v>
      </c>
    </row>
    <row r="48" spans="2:13" ht="17" customHeight="1">
      <c r="B48" s="26" t="s">
        <v>569</v>
      </c>
      <c r="C48" s="27">
        <f>C39*$F39</f>
        <v>906240</v>
      </c>
      <c r="D48" s="27">
        <f>D39*$F39</f>
        <v>0</v>
      </c>
      <c r="E48" s="27">
        <f>E39*$F39</f>
        <v>0</v>
      </c>
    </row>
    <row r="49" spans="2:13" ht="17" customHeight="1">
      <c r="B49" s="30" t="s">
        <v>570</v>
      </c>
      <c r="C49" s="59">
        <f>SUM(C43:C47)</f>
        <v>3663021.25665423</v>
      </c>
      <c r="D49" s="59">
        <f>SUM(D43:D47)</f>
        <v>5071829.74969453</v>
      </c>
      <c r="E49" s="59">
        <f>SUM(E43:E47)</f>
        <v>5981455.68766991</v>
      </c>
    </row>
    <row r="51" spans="2:13" ht="17" customHeight="1">
      <c r="B51" s="7" t="s">
        <v>571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2:13" ht="30" customHeight="1">
      <c r="B52" s="24" t="s">
        <v>572</v>
      </c>
      <c r="C52" s="25" t="s">
        <v>248</v>
      </c>
      <c r="D52" s="25" t="s">
        <v>565</v>
      </c>
      <c r="E52" s="25" t="s">
        <v>566</v>
      </c>
    </row>
    <row r="53" spans="2:13" ht="17" customHeight="1">
      <c r="B53" s="26" t="s">
        <v>573</v>
      </c>
      <c r="C53" s="27">
        <f>Ch_Hin_L</f>
        <v>2832000</v>
      </c>
      <c r="D53" s="27">
        <f>Ch_Hin_G</f>
        <v>4871428.57142857</v>
      </c>
      <c r="E53" s="27">
        <f>Ch_Hin_C</f>
        <v>4871428.57142857</v>
      </c>
    </row>
    <row r="54" spans="2:13" ht="17" customHeight="1">
      <c r="B54" s="26" t="s">
        <v>574</v>
      </c>
      <c r="C54" s="27">
        <f>Ch_Del_L</f>
        <v>2605440</v>
      </c>
      <c r="D54" s="27">
        <f>Ch_Del_G</f>
        <v>4196923.07692308</v>
      </c>
      <c r="E54" s="27">
        <f>Ch_Del_C</f>
        <v>3788888.88888889</v>
      </c>
    </row>
    <row r="55" spans="2:13" ht="17" customHeight="1">
      <c r="B55" s="26" t="s">
        <v>575</v>
      </c>
      <c r="C55" s="27">
        <f>IF((Ec_Basis="H2 produced (Economic Origin)"),C53,C54)</f>
        <v>2832000</v>
      </c>
      <c r="D55" s="27">
        <f>IF((Ec_Basis="H2 produced (Economic Origin)"),D53,D54)</f>
        <v>4871428.57142857</v>
      </c>
      <c r="E55" s="27">
        <f>IF((Ec_Basis="H2 produced (Economic Origin)"),E53,E54)</f>
        <v>4871428.57142857</v>
      </c>
    </row>
    <row r="56" spans="2:13" ht="17" customHeight="1">
      <c r="B56" s="26" t="s">
        <v>576</v>
      </c>
      <c r="C56" s="27">
        <f>An_T*C55/C54</f>
        <v>108695652.173913</v>
      </c>
      <c r="D56" s="27">
        <f>An_T*D55/D54</f>
        <v>116071428.571429</v>
      </c>
      <c r="E56" s="27">
        <f>An_T*E55/E54</f>
        <v>128571428.571429</v>
      </c>
    </row>
    <row r="57" spans="2:13" ht="17" customHeight="1">
      <c r="B57" s="26" t="s">
        <v>577</v>
      </c>
      <c r="C57" s="52">
        <f>C49/C55</f>
        <v>1.29343970927056</v>
      </c>
      <c r="D57" s="52">
        <f>D49/D55</f>
        <v>1.0411380717848</v>
      </c>
      <c r="E57" s="52">
        <f>E49/E55</f>
        <v>1.22786480392051</v>
      </c>
    </row>
    <row r="58" spans="2:13" ht="17" customHeight="1">
      <c r="B58" s="26" t="s">
        <v>578</v>
      </c>
      <c r="C58" s="52">
        <f>C39/C55</f>
        <v>0.08</v>
      </c>
      <c r="D58" s="52">
        <f>D39/D55</f>
        <v>0</v>
      </c>
      <c r="E58" s="52">
        <f>E39/E55</f>
        <v>0</v>
      </c>
    </row>
    <row r="59" spans="2:13" ht="17" customHeight="1">
      <c r="B59" s="26" t="s">
        <v>579</v>
      </c>
      <c r="C59" s="52">
        <f>C57+C58*Ec_H2</f>
        <v>1.61343970927056</v>
      </c>
      <c r="D59" s="52">
        <f>D57+D58*Ec_H2</f>
        <v>1.0411380717848</v>
      </c>
      <c r="E59" s="52">
        <f>E57+E58*Ec_H2</f>
        <v>1.22786480392051</v>
      </c>
    </row>
    <row r="60" spans="2:13" ht="17" customHeight="1">
      <c r="B60" s="26" t="s">
        <v>580</v>
      </c>
      <c r="C60" s="28">
        <f>C59*C56/1000000</f>
        <v>175.373881442452</v>
      </c>
      <c r="D60" s="28">
        <f>D59*D56/1000000</f>
        <v>120.846383332164</v>
      </c>
      <c r="E60" s="28">
        <f>E59*E56/1000000</f>
        <v>157.868331932637</v>
      </c>
    </row>
    <row r="62" spans="2:13" ht="17" customHeight="1">
      <c r="B62" s="9" t="s">
        <v>548</v>
      </c>
      <c r="C62" s="22">
        <f>IF(Ec_B_L&gt;0,(Ec_A_G-Ec_A_L)/Ec_B_L,NA())</f>
        <v>-3.153770468572</v>
      </c>
      <c r="D62" s="11" t="s">
        <v>19</v>
      </c>
    </row>
    <row r="63" spans="2:13" ht="17" customHeight="1">
      <c r="B63" s="9" t="s">
        <v>550</v>
      </c>
      <c r="C63" s="22">
        <f>IF(Ec_B_L&gt;0,(Ec_A_C-Ec_A_L)/Ec_B_L,NA())</f>
        <v>-0.819686316875656</v>
      </c>
      <c r="D63" s="11" t="s">
        <v>19</v>
      </c>
    </row>
    <row r="65" spans="2:13" ht="17" customHeight="1">
      <c r="B65" s="7" t="s">
        <v>581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2:13" ht="30" customHeight="1">
      <c r="B66" s="24" t="s">
        <v>582</v>
      </c>
      <c r="C66" s="25" t="s">
        <v>248</v>
      </c>
      <c r="D66" s="25" t="s">
        <v>565</v>
      </c>
      <c r="E66" s="25" t="s">
        <v>566</v>
      </c>
    </row>
    <row r="67" spans="2:13" ht="17" customHeight="1">
      <c r="B67" s="26" t="s">
        <v>523</v>
      </c>
      <c r="C67" s="29">
        <f>C43/Ec_Den_L</f>
        <v>1.264137</v>
      </c>
      <c r="D67" s="29">
        <f>D43/Ec_Den_G</f>
        <v>0.140735</v>
      </c>
      <c r="E67" s="29">
        <f>E43/Ec_Den_C</f>
        <v>0.140735</v>
      </c>
    </row>
    <row r="68" spans="2:13" ht="17" customHeight="1">
      <c r="B68" s="26" t="s">
        <v>527</v>
      </c>
      <c r="C68" s="29">
        <f>C44/Ec_Den_L</f>
        <v>0.02282639520463</v>
      </c>
      <c r="D68" s="29">
        <f>D44/Ec_Den_G</f>
        <v>0.00340557184750733</v>
      </c>
      <c r="E68" s="29">
        <f>E44/Ec_Den_C</f>
        <v>0.00340557184750733</v>
      </c>
    </row>
    <row r="69" spans="2:13" ht="17" customHeight="1">
      <c r="B69" s="26" t="s">
        <v>567</v>
      </c>
      <c r="C69" s="29">
        <f>C45/Ec_Den_L</f>
        <v>0</v>
      </c>
      <c r="D69" s="29">
        <f>D45/Ec_Den_G</f>
        <v>0.723315063708404</v>
      </c>
      <c r="E69" s="29">
        <f>E45/Ec_Den_C</f>
        <v>1.05165694405028</v>
      </c>
    </row>
    <row r="70" spans="2:13" ht="17" customHeight="1">
      <c r="B70" s="26" t="s">
        <v>569</v>
      </c>
      <c r="C70" s="29">
        <f>Ec_B_L*Ec_H2</f>
        <v>0.32</v>
      </c>
      <c r="D70" s="29">
        <f>Ec_B_G*Ec_H2</f>
        <v>0</v>
      </c>
      <c r="E70" s="29">
        <f>Ec_B_C*Ec_H2</f>
        <v>0</v>
      </c>
    </row>
    <row r="71" spans="2:13" ht="17" customHeight="1">
      <c r="B71" s="26" t="s">
        <v>568</v>
      </c>
      <c r="C71" s="29">
        <f>C46/Ec_Den_L</f>
        <v>0</v>
      </c>
      <c r="D71" s="29">
        <f>D46/Ec_Den_G</f>
        <v>0.138214464445489</v>
      </c>
      <c r="E71" s="29">
        <f>E46/Ec_Den_C</f>
        <v>0</v>
      </c>
    </row>
    <row r="72" spans="2:13" ht="17" customHeight="1">
      <c r="B72" s="26" t="s">
        <v>525</v>
      </c>
      <c r="C72" s="29">
        <f>C47/Ec_Den_L</f>
        <v>0.00647631406593079</v>
      </c>
      <c r="D72" s="29">
        <f>D47/Ec_Den_G</f>
        <v>0.0354679717834002</v>
      </c>
      <c r="E72" s="29">
        <f>E47/Ec_Den_C</f>
        <v>0.0320672880227165</v>
      </c>
    </row>
    <row r="73" spans="2:13" ht="17" customHeight="1">
      <c r="B73" s="30" t="s">
        <v>239</v>
      </c>
      <c r="C73" s="32">
        <f>SUM(C67:C72)</f>
        <v>1.61343970927056</v>
      </c>
      <c r="D73" s="32">
        <f>SUM(D67:D72)</f>
        <v>1.0411380717848</v>
      </c>
      <c r="E73" s="32">
        <f>SUM(E67:E72)</f>
        <v>1.22786480392051</v>
      </c>
    </row>
    <row r="75" spans="2:13" ht="17" customHeight="1">
      <c r="B75" s="7" t="s">
        <v>583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2:13" ht="30" customHeight="1">
      <c r="B76" s="24" t="s">
        <v>584</v>
      </c>
      <c r="C76" s="25" t="s">
        <v>248</v>
      </c>
      <c r="D76" s="25" t="s">
        <v>565</v>
      </c>
      <c r="E76" s="25" t="s">
        <v>566</v>
      </c>
    </row>
    <row r="77" spans="2:13" ht="17" customHeight="1">
      <c r="B77" s="26" t="s">
        <v>236</v>
      </c>
      <c r="C77" s="29">
        <f>Stg_El_L/Ec_Den_L</f>
        <v>0</v>
      </c>
      <c r="D77" s="29">
        <f>Stg_El_G/Ec_Den_G</f>
        <v>0</v>
      </c>
      <c r="E77" s="29">
        <f>Stg_El_C/Ec_Den_C</f>
        <v>0</v>
      </c>
    </row>
    <row r="78" spans="2:13" ht="17" customHeight="1">
      <c r="B78" s="26" t="s">
        <v>446</v>
      </c>
      <c r="C78" s="29">
        <f>Stg_Up_L/Ec_Den_L</f>
        <v>9.02955</v>
      </c>
      <c r="D78" s="29">
        <f>Stg_Up_G/Ec_Den_G</f>
        <v>1.00525</v>
      </c>
      <c r="E78" s="29">
        <f>Stg_Up_C/Ec_Den_C</f>
        <v>1.00525</v>
      </c>
    </row>
    <row r="79" spans="2:13" ht="17" customHeight="1">
      <c r="B79" s="26" t="s">
        <v>447</v>
      </c>
      <c r="C79" s="29">
        <f>Stg_Sh_L/Ec_Den_L</f>
        <v>0.470103578154426</v>
      </c>
      <c r="D79" s="29">
        <f>Stg_Sh_G/Ec_Den_G</f>
        <v>1.40273704789834</v>
      </c>
      <c r="E79" s="29">
        <f>Stg_Sh_C/Ec_Den_C</f>
        <v>1.40273704789834</v>
      </c>
    </row>
    <row r="80" spans="2:13" ht="17" customHeight="1">
      <c r="B80" s="26" t="s">
        <v>448</v>
      </c>
      <c r="C80" s="29">
        <f>Stg_ShH_L/Ec_Den_L</f>
        <v>2.66666666666667</v>
      </c>
      <c r="D80" s="29">
        <f>Stg_ShH_G/Ec_Den_G</f>
        <v>0</v>
      </c>
      <c r="E80" s="29">
        <f>Stg_ShH_C/Ec_Den_C</f>
        <v>0</v>
      </c>
    </row>
    <row r="81" spans="2:5" ht="17" customHeight="1">
      <c r="B81" s="26" t="s">
        <v>449</v>
      </c>
      <c r="C81" s="29">
        <f>Stg_Dn_L/Ec_Den_L</f>
        <v>0.0462593861852199</v>
      </c>
      <c r="D81" s="29">
        <f>Stg_Dn_G/Ec_Den_G</f>
        <v>7.375393937647</v>
      </c>
      <c r="E81" s="29">
        <f>Stg_Dn_C/Ec_Den_C</f>
        <v>6.65868168693475</v>
      </c>
    </row>
    <row r="82" spans="2:5" ht="17" customHeight="1">
      <c r="B82" s="26" t="s">
        <v>585</v>
      </c>
      <c r="C82" s="29">
        <f>SUM(C77:C81)</f>
        <v>12.2125796310063</v>
      </c>
      <c r="D82" s="29">
        <f>SUM(D77:D81)</f>
        <v>9.78338098554534</v>
      </c>
      <c r="E82" s="29">
        <f>SUM(E77:E81)</f>
        <v>9.06666873483309</v>
      </c>
    </row>
    <row r="83" spans="2:5" ht="17" customHeight="1">
      <c r="B83" s="26" t="s">
        <v>586</v>
      </c>
      <c r="C83" s="29">
        <f>Ec_Den_L/1000</f>
        <v>2832</v>
      </c>
      <c r="D83" s="29">
        <f>Ec_Den_G/1000</f>
        <v>4871.42857142857</v>
      </c>
      <c r="E83" s="29">
        <f>Ec_Den_C/1000</f>
        <v>4871.42857142857</v>
      </c>
    </row>
    <row r="84" spans="2:5" ht="17" customHeight="1">
      <c r="B84" s="26" t="s">
        <v>587</v>
      </c>
      <c r="C84" s="29">
        <f>Ch_Tot_L/IF((Ec_Basis="H2 produced (Economic Origin)"),Ch_Del_L,Ch_Hin_L)</f>
        <v>13.2745430771808</v>
      </c>
      <c r="D84" s="29">
        <f>Ch_Tot_G/IF((Ec_Basis="H2 produced (Economic Origin)"),Ch_Del_G,Ch_Hin_G)</f>
        <v>11.355710072508</v>
      </c>
      <c r="E84" s="29">
        <f>Ch_Tot_C/IF((Ec_Basis="H2 produced (Economic Origin)"),Ch_Del_C,Ch_Hin_C)</f>
        <v>11.657145516214</v>
      </c>
    </row>
    <row r="86" spans="2:5" ht="17" customHeight="1">
      <c r="B86" s="23" t="str">
        <f>IF((Ec_Basis="H2 produced (Economic Origin)"),"produced","delivered")</f>
        <v>produced</v>
      </c>
    </row>
    <row r="87" spans="2:5" ht="17" customHeight="1">
      <c r="B87" s="23" t="str">
        <f>"USD/kg"</f>
        <v>USD/kg</v>
      </c>
    </row>
    <row r="88" spans="2:5" ht="17" customHeight="1">
      <c r="B88" s="23" t="str">
        <f>"kWh/kg"</f>
        <v>kWh/kg</v>
      </c>
    </row>
    <row r="89" spans="2:5" ht="17" customHeight="1">
      <c r="B89" s="23" t="str">
        <f>IF(AND(NOT(ISNUMBER(Ec_BE_G)),NOT(ISNUMBER(Ec_BE_C))),"No boil-off to price",IF(AND(Ec_BE_G&lt;=0,Ec_BE_C&lt;=0),"Both NH3 chains have a lower energy cost than LH2 at any H2 price",IF(Ec_BE_G&lt;=0,"LH2 beats clean-fuel cracking below H2 USD "&amp;TEXT(Ec_BE_C,"0.00")&amp;"/kg, but never beats NG-fired cracking",IF(Ec_BE_C&lt;=0,"LH2 beats NG-fired cracking below H2 USD "&amp;TEXT(Ec_BE_G,"0.00")&amp;"/kg, but never beats clean-fuel cracking","LH2 has the lower energy cost below H2 USD "&amp;TEXT(Ec_BE_G,"0.00")&amp;"/kg (vs NG-fired) and USD "&amp;TEXT(Ec_BE_C,"0.00")&amp;"/kg (vs clean fuel)"))))</f>
        <v>Both NH3 chains have a lower energy cost than LH2 at any H2 price</v>
      </c>
    </row>
    <row r="90" spans="2:5" ht="17" customHeight="1">
      <c r="B90" s="23" t="str">
        <f>"Energy cost, USD/kg H2 "&amp;Ec_Word</f>
        <v>Energy cost, USD/kg H2 produced</v>
      </c>
    </row>
    <row r="91" spans="2:5" ht="17" customHeight="1">
      <c r="B91" s="23" t="str">
        <f>"Energy cost, USD per kg H2 "&amp;Ec_Word</f>
        <v>Energy cost, USD per kg H2 produced</v>
      </c>
    </row>
    <row r="92" spans="2:5" ht="17" customHeight="1">
      <c r="B92" s="23" t="str">
        <f>"Energy cost by carrier, per kg H2 "&amp;Ec_Word</f>
        <v>Energy cost by carrier, per kg H2 produced</v>
      </c>
    </row>
    <row r="93" spans="2:5" ht="17" customHeight="1">
      <c r="B93" s="23" t="str">
        <f>"Energy, kWh per kg H2 "&amp;Ec_Word</f>
        <v>Energy, kWh per kg H2 produced</v>
      </c>
    </row>
    <row r="94" spans="2:5" ht="17" customHeight="1">
      <c r="B94" s="23" t="str">
        <f>INDEX({"LH2","NH3 NG-fired","NH3 clean fuel"},MATCH(MIN(Ec_TotK),Ec_TotK,0))&amp;" uses the least energy per kg H2 "&amp;Ec_Word&amp;": "&amp;TEXT(MIN(Ec_TotK),"0.00")&amp;" kWh/kg"</f>
        <v>NH3 clean fuel uses the least energy per kg H2 produced: 9.07 kWh/kg</v>
      </c>
    </row>
    <row r="95" spans="2:5" ht="17" customHeight="1">
      <c r="B95" s="23" t="str">
        <f>"H2 price USD "&amp;TEXT(Ec_H2,"0.00")&amp;"/kg"</f>
        <v>H2 price USD 4.00/kg</v>
      </c>
    </row>
    <row r="96" spans="2:5" ht="17" customHeight="1">
      <c r="B96" s="23">
        <f>IF(ISNUMBER(Ec_BE_G),IF(AND(Ec_BE_G&gt;=0,Ec_BE_G&lt;=10),"USD "&amp;TEXT(Ec_BE_G,"0.00")&amp;"/kg vs NG-fired",""),"")</f>
        <v/>
      </c>
    </row>
    <row r="97" spans="2:13" ht="17" customHeight="1">
      <c r="B97" s="23">
        <f>IF(ISNUMBER(Ec_BE_C),IF(AND(Ec_BE_C&gt;=0,Ec_BE_C&lt;=10),"USD "&amp;TEXT(Ec_BE_C,"0.00")&amp;"/kg vs clean fuel",""),"")</f>
        <v/>
      </c>
    </row>
    <row r="99" spans="2:13" ht="17" customHeight="1">
      <c r="B99" s="7" t="s">
        <v>588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2:13" ht="42" customHeight="1">
      <c r="B100" s="24" t="s">
        <v>118</v>
      </c>
      <c r="C100" s="25" t="s">
        <v>386</v>
      </c>
      <c r="D100" s="25" t="s">
        <v>423</v>
      </c>
      <c r="E100" s="25" t="s">
        <v>424</v>
      </c>
      <c r="F100" s="25" t="s">
        <v>121</v>
      </c>
      <c r="G100" s="25" t="s">
        <v>589</v>
      </c>
      <c r="H100" s="25" t="s">
        <v>590</v>
      </c>
      <c r="I100" s="25" t="s">
        <v>116</v>
      </c>
    </row>
    <row r="101" spans="2:13" ht="17" customHeight="1">
      <c r="B101" s="36">
        <v>0</v>
      </c>
      <c r="C101" s="61">
        <f>Ec_A_L+Ec_B_L*$B101</f>
        <v>1.29343970927056</v>
      </c>
      <c r="D101" s="61">
        <f>Ec_A_G</f>
        <v>1.0411380717848</v>
      </c>
      <c r="E101" s="61">
        <f>Ec_A_C</f>
        <v>1.22786480392051</v>
      </c>
      <c r="F101" s="61" t="e">
        <f>IF(ABS($B101-Ec_H2)&lt;=0.025,C101,NA())</f>
        <v>#N/A</v>
      </c>
      <c r="G101" s="61" t="e">
        <f>IF(ISNUMBER(Ec_BE_G),IF(ABS($B101-Ec_BE_G)&lt;=0.025,Ec_A_G,NA()),NA())</f>
        <v>#N/A</v>
      </c>
      <c r="H101" s="61" t="e">
        <f>IF(ISNUMBER(Ec_BE_C),IF(ABS($B101-Ec_BE_C)&lt;=0.025,Ec_A_C,NA()),NA())</f>
        <v>#N/A</v>
      </c>
      <c r="I101" s="39" t="str">
        <f>IF(MOD(0,20)=0,TEXT($B101,"0"),"")</f>
        <v>0</v>
      </c>
    </row>
    <row r="102" spans="2:13" ht="17" customHeight="1">
      <c r="B102" s="36">
        <v>0.05</v>
      </c>
      <c r="C102" s="61">
        <f>Ec_A_L+Ec_B_L*$B102</f>
        <v>1.29743970927056</v>
      </c>
      <c r="D102" s="61">
        <f>Ec_A_G</f>
        <v>1.0411380717848</v>
      </c>
      <c r="E102" s="61">
        <f>Ec_A_C</f>
        <v>1.22786480392051</v>
      </c>
      <c r="F102" s="61" t="e">
        <f>IF(ABS($B102-Ec_H2)&lt;=0.025,C102,NA())</f>
        <v>#N/A</v>
      </c>
      <c r="G102" s="61" t="e">
        <f>IF(ISNUMBER(Ec_BE_G),IF(ABS($B102-Ec_BE_G)&lt;=0.025,Ec_A_G,NA()),NA())</f>
        <v>#N/A</v>
      </c>
      <c r="H102" s="61" t="e">
        <f>IF(ISNUMBER(Ec_BE_C),IF(ABS($B102-Ec_BE_C)&lt;=0.025,Ec_A_C,NA()),NA())</f>
        <v>#N/A</v>
      </c>
      <c r="I102" s="39">
        <f>IF(MOD(1,20)=0,TEXT($B102,"0"),"")</f>
        <v/>
      </c>
    </row>
    <row r="103" spans="2:13" ht="17" customHeight="1">
      <c r="B103" s="36">
        <v>0.1</v>
      </c>
      <c r="C103" s="61">
        <f>Ec_A_L+Ec_B_L*$B103</f>
        <v>1.30143970927056</v>
      </c>
      <c r="D103" s="61">
        <f>Ec_A_G</f>
        <v>1.0411380717848</v>
      </c>
      <c r="E103" s="61">
        <f>Ec_A_C</f>
        <v>1.22786480392051</v>
      </c>
      <c r="F103" s="61" t="e">
        <f>IF(ABS($B103-Ec_H2)&lt;=0.025,C103,NA())</f>
        <v>#N/A</v>
      </c>
      <c r="G103" s="61" t="e">
        <f>IF(ISNUMBER(Ec_BE_G),IF(ABS($B103-Ec_BE_G)&lt;=0.025,Ec_A_G,NA()),NA())</f>
        <v>#N/A</v>
      </c>
      <c r="H103" s="61" t="e">
        <f>IF(ISNUMBER(Ec_BE_C),IF(ABS($B103-Ec_BE_C)&lt;=0.025,Ec_A_C,NA()),NA())</f>
        <v>#N/A</v>
      </c>
      <c r="I103" s="39">
        <f>IF(MOD(2,20)=0,TEXT($B103,"0"),"")</f>
        <v/>
      </c>
    </row>
    <row r="104" spans="2:13" ht="17" customHeight="1">
      <c r="B104" s="36">
        <v>0.15</v>
      </c>
      <c r="C104" s="61">
        <f>Ec_A_L+Ec_B_L*$B104</f>
        <v>1.30543970927056</v>
      </c>
      <c r="D104" s="61">
        <f>Ec_A_G</f>
        <v>1.0411380717848</v>
      </c>
      <c r="E104" s="61">
        <f>Ec_A_C</f>
        <v>1.22786480392051</v>
      </c>
      <c r="F104" s="61" t="e">
        <f>IF(ABS($B104-Ec_H2)&lt;=0.025,C104,NA())</f>
        <v>#N/A</v>
      </c>
      <c r="G104" s="61" t="e">
        <f>IF(ISNUMBER(Ec_BE_G),IF(ABS($B104-Ec_BE_G)&lt;=0.025,Ec_A_G,NA()),NA())</f>
        <v>#N/A</v>
      </c>
      <c r="H104" s="61" t="e">
        <f>IF(ISNUMBER(Ec_BE_C),IF(ABS($B104-Ec_BE_C)&lt;=0.025,Ec_A_C,NA()),NA())</f>
        <v>#N/A</v>
      </c>
      <c r="I104" s="39">
        <f>IF(MOD(3,20)=0,TEXT($B104,"0"),"")</f>
        <v/>
      </c>
    </row>
    <row r="105" spans="2:13" ht="17" customHeight="1">
      <c r="B105" s="36">
        <v>0.2</v>
      </c>
      <c r="C105" s="61">
        <f>Ec_A_L+Ec_B_L*$B105</f>
        <v>1.30943970927056</v>
      </c>
      <c r="D105" s="61">
        <f>Ec_A_G</f>
        <v>1.0411380717848</v>
      </c>
      <c r="E105" s="61">
        <f>Ec_A_C</f>
        <v>1.22786480392051</v>
      </c>
      <c r="F105" s="61" t="e">
        <f>IF(ABS($B105-Ec_H2)&lt;=0.025,C105,NA())</f>
        <v>#N/A</v>
      </c>
      <c r="G105" s="61" t="e">
        <f>IF(ISNUMBER(Ec_BE_G),IF(ABS($B105-Ec_BE_G)&lt;=0.025,Ec_A_G,NA()),NA())</f>
        <v>#N/A</v>
      </c>
      <c r="H105" s="61" t="e">
        <f>IF(ISNUMBER(Ec_BE_C),IF(ABS($B105-Ec_BE_C)&lt;=0.025,Ec_A_C,NA()),NA())</f>
        <v>#N/A</v>
      </c>
      <c r="I105" s="39">
        <f>IF(MOD(4,20)=0,TEXT($B105,"0"),"")</f>
        <v/>
      </c>
    </row>
    <row r="106" spans="2:13" ht="17" customHeight="1">
      <c r="B106" s="36">
        <v>0.25</v>
      </c>
      <c r="C106" s="61">
        <f>Ec_A_L+Ec_B_L*$B106</f>
        <v>1.31343970927056</v>
      </c>
      <c r="D106" s="61">
        <f>Ec_A_G</f>
        <v>1.0411380717848</v>
      </c>
      <c r="E106" s="61">
        <f>Ec_A_C</f>
        <v>1.22786480392051</v>
      </c>
      <c r="F106" s="61" t="e">
        <f>IF(ABS($B106-Ec_H2)&lt;=0.025,C106,NA())</f>
        <v>#N/A</v>
      </c>
      <c r="G106" s="61" t="e">
        <f>IF(ISNUMBER(Ec_BE_G),IF(ABS($B106-Ec_BE_G)&lt;=0.025,Ec_A_G,NA()),NA())</f>
        <v>#N/A</v>
      </c>
      <c r="H106" s="61" t="e">
        <f>IF(ISNUMBER(Ec_BE_C),IF(ABS($B106-Ec_BE_C)&lt;=0.025,Ec_A_C,NA()),NA())</f>
        <v>#N/A</v>
      </c>
      <c r="I106" s="39">
        <f>IF(MOD(5,20)=0,TEXT($B106,"0"),"")</f>
        <v/>
      </c>
    </row>
    <row r="107" spans="2:13" ht="17" customHeight="1">
      <c r="B107" s="36">
        <v>0.3</v>
      </c>
      <c r="C107" s="61">
        <f>Ec_A_L+Ec_B_L*$B107</f>
        <v>1.31743970927056</v>
      </c>
      <c r="D107" s="61">
        <f>Ec_A_G</f>
        <v>1.0411380717848</v>
      </c>
      <c r="E107" s="61">
        <f>Ec_A_C</f>
        <v>1.22786480392051</v>
      </c>
      <c r="F107" s="61" t="e">
        <f>IF(ABS($B107-Ec_H2)&lt;=0.025,C107,NA())</f>
        <v>#N/A</v>
      </c>
      <c r="G107" s="61" t="e">
        <f>IF(ISNUMBER(Ec_BE_G),IF(ABS($B107-Ec_BE_G)&lt;=0.025,Ec_A_G,NA()),NA())</f>
        <v>#N/A</v>
      </c>
      <c r="H107" s="61" t="e">
        <f>IF(ISNUMBER(Ec_BE_C),IF(ABS($B107-Ec_BE_C)&lt;=0.025,Ec_A_C,NA()),NA())</f>
        <v>#N/A</v>
      </c>
      <c r="I107" s="39">
        <f>IF(MOD(6,20)=0,TEXT($B107,"0"),"")</f>
        <v/>
      </c>
    </row>
    <row r="108" spans="2:13" ht="17" customHeight="1">
      <c r="B108" s="36">
        <v>0.35</v>
      </c>
      <c r="C108" s="61">
        <f>Ec_A_L+Ec_B_L*$B108</f>
        <v>1.32143970927056</v>
      </c>
      <c r="D108" s="61">
        <f>Ec_A_G</f>
        <v>1.0411380717848</v>
      </c>
      <c r="E108" s="61">
        <f>Ec_A_C</f>
        <v>1.22786480392051</v>
      </c>
      <c r="F108" s="61" t="e">
        <f>IF(ABS($B108-Ec_H2)&lt;=0.025,C108,NA())</f>
        <v>#N/A</v>
      </c>
      <c r="G108" s="61" t="e">
        <f>IF(ISNUMBER(Ec_BE_G),IF(ABS($B108-Ec_BE_G)&lt;=0.025,Ec_A_G,NA()),NA())</f>
        <v>#N/A</v>
      </c>
      <c r="H108" s="61" t="e">
        <f>IF(ISNUMBER(Ec_BE_C),IF(ABS($B108-Ec_BE_C)&lt;=0.025,Ec_A_C,NA()),NA())</f>
        <v>#N/A</v>
      </c>
      <c r="I108" s="39">
        <f>IF(MOD(7,20)=0,TEXT($B108,"0"),"")</f>
        <v/>
      </c>
    </row>
    <row r="109" spans="2:13" ht="17" customHeight="1">
      <c r="B109" s="36">
        <v>0.4</v>
      </c>
      <c r="C109" s="61">
        <f>Ec_A_L+Ec_B_L*$B109</f>
        <v>1.32543970927056</v>
      </c>
      <c r="D109" s="61">
        <f>Ec_A_G</f>
        <v>1.0411380717848</v>
      </c>
      <c r="E109" s="61">
        <f>Ec_A_C</f>
        <v>1.22786480392051</v>
      </c>
      <c r="F109" s="61" t="e">
        <f>IF(ABS($B109-Ec_H2)&lt;=0.025,C109,NA())</f>
        <v>#N/A</v>
      </c>
      <c r="G109" s="61" t="e">
        <f>IF(ISNUMBER(Ec_BE_G),IF(ABS($B109-Ec_BE_G)&lt;=0.025,Ec_A_G,NA()),NA())</f>
        <v>#N/A</v>
      </c>
      <c r="H109" s="61" t="e">
        <f>IF(ISNUMBER(Ec_BE_C),IF(ABS($B109-Ec_BE_C)&lt;=0.025,Ec_A_C,NA()),NA())</f>
        <v>#N/A</v>
      </c>
      <c r="I109" s="39">
        <f>IF(MOD(8,20)=0,TEXT($B109,"0"),"")</f>
        <v/>
      </c>
    </row>
    <row r="110" spans="2:13" ht="17" customHeight="1">
      <c r="B110" s="36">
        <v>0.45</v>
      </c>
      <c r="C110" s="61">
        <f>Ec_A_L+Ec_B_L*$B110</f>
        <v>1.32943970927056</v>
      </c>
      <c r="D110" s="61">
        <f>Ec_A_G</f>
        <v>1.0411380717848</v>
      </c>
      <c r="E110" s="61">
        <f>Ec_A_C</f>
        <v>1.22786480392051</v>
      </c>
      <c r="F110" s="61" t="e">
        <f>IF(ABS($B110-Ec_H2)&lt;=0.025,C110,NA())</f>
        <v>#N/A</v>
      </c>
      <c r="G110" s="61" t="e">
        <f>IF(ISNUMBER(Ec_BE_G),IF(ABS($B110-Ec_BE_G)&lt;=0.025,Ec_A_G,NA()),NA())</f>
        <v>#N/A</v>
      </c>
      <c r="H110" s="61" t="e">
        <f>IF(ISNUMBER(Ec_BE_C),IF(ABS($B110-Ec_BE_C)&lt;=0.025,Ec_A_C,NA()),NA())</f>
        <v>#N/A</v>
      </c>
      <c r="I110" s="39">
        <f>IF(MOD(9,20)=0,TEXT($B110,"0"),"")</f>
        <v/>
      </c>
    </row>
    <row r="111" spans="2:13" ht="17" customHeight="1">
      <c r="B111" s="36">
        <v>0.5</v>
      </c>
      <c r="C111" s="61">
        <f>Ec_A_L+Ec_B_L*$B111</f>
        <v>1.33343970927056</v>
      </c>
      <c r="D111" s="61">
        <f>Ec_A_G</f>
        <v>1.0411380717848</v>
      </c>
      <c r="E111" s="61">
        <f>Ec_A_C</f>
        <v>1.22786480392051</v>
      </c>
      <c r="F111" s="61" t="e">
        <f>IF(ABS($B111-Ec_H2)&lt;=0.025,C111,NA())</f>
        <v>#N/A</v>
      </c>
      <c r="G111" s="61" t="e">
        <f>IF(ISNUMBER(Ec_BE_G),IF(ABS($B111-Ec_BE_G)&lt;=0.025,Ec_A_G,NA()),NA())</f>
        <v>#N/A</v>
      </c>
      <c r="H111" s="61" t="e">
        <f>IF(ISNUMBER(Ec_BE_C),IF(ABS($B111-Ec_BE_C)&lt;=0.025,Ec_A_C,NA()),NA())</f>
        <v>#N/A</v>
      </c>
      <c r="I111" s="39">
        <f>IF(MOD(10,20)=0,TEXT($B111,"0"),"")</f>
        <v/>
      </c>
    </row>
    <row r="112" spans="2:13" ht="17" customHeight="1">
      <c r="B112" s="36">
        <v>0.55</v>
      </c>
      <c r="C112" s="61">
        <f>Ec_A_L+Ec_B_L*$B112</f>
        <v>1.33743970927056</v>
      </c>
      <c r="D112" s="61">
        <f>Ec_A_G</f>
        <v>1.0411380717848</v>
      </c>
      <c r="E112" s="61">
        <f>Ec_A_C</f>
        <v>1.22786480392051</v>
      </c>
      <c r="F112" s="61" t="e">
        <f>IF(ABS($B112-Ec_H2)&lt;=0.025,C112,NA())</f>
        <v>#N/A</v>
      </c>
      <c r="G112" s="61" t="e">
        <f>IF(ISNUMBER(Ec_BE_G),IF(ABS($B112-Ec_BE_G)&lt;=0.025,Ec_A_G,NA()),NA())</f>
        <v>#N/A</v>
      </c>
      <c r="H112" s="61" t="e">
        <f>IF(ISNUMBER(Ec_BE_C),IF(ABS($B112-Ec_BE_C)&lt;=0.025,Ec_A_C,NA()),NA())</f>
        <v>#N/A</v>
      </c>
      <c r="I112" s="39">
        <f>IF(MOD(11,20)=0,TEXT($B112,"0"),"")</f>
        <v/>
      </c>
    </row>
    <row r="113" spans="2:9" ht="17" customHeight="1">
      <c r="B113" s="36">
        <v>0.6</v>
      </c>
      <c r="C113" s="61">
        <f>Ec_A_L+Ec_B_L*$B113</f>
        <v>1.34143970927056</v>
      </c>
      <c r="D113" s="61">
        <f>Ec_A_G</f>
        <v>1.0411380717848</v>
      </c>
      <c r="E113" s="61">
        <f>Ec_A_C</f>
        <v>1.22786480392051</v>
      </c>
      <c r="F113" s="61" t="e">
        <f>IF(ABS($B113-Ec_H2)&lt;=0.025,C113,NA())</f>
        <v>#N/A</v>
      </c>
      <c r="G113" s="61" t="e">
        <f>IF(ISNUMBER(Ec_BE_G),IF(ABS($B113-Ec_BE_G)&lt;=0.025,Ec_A_G,NA()),NA())</f>
        <v>#N/A</v>
      </c>
      <c r="H113" s="61" t="e">
        <f>IF(ISNUMBER(Ec_BE_C),IF(ABS($B113-Ec_BE_C)&lt;=0.025,Ec_A_C,NA()),NA())</f>
        <v>#N/A</v>
      </c>
      <c r="I113" s="39">
        <f>IF(MOD(12,20)=0,TEXT($B113,"0"),"")</f>
        <v/>
      </c>
    </row>
    <row r="114" spans="2:9" ht="17" customHeight="1">
      <c r="B114" s="36">
        <v>0.65</v>
      </c>
      <c r="C114" s="61">
        <f>Ec_A_L+Ec_B_L*$B114</f>
        <v>1.34543970927056</v>
      </c>
      <c r="D114" s="61">
        <f>Ec_A_G</f>
        <v>1.0411380717848</v>
      </c>
      <c r="E114" s="61">
        <f>Ec_A_C</f>
        <v>1.22786480392051</v>
      </c>
      <c r="F114" s="61" t="e">
        <f>IF(ABS($B114-Ec_H2)&lt;=0.025,C114,NA())</f>
        <v>#N/A</v>
      </c>
      <c r="G114" s="61" t="e">
        <f>IF(ISNUMBER(Ec_BE_G),IF(ABS($B114-Ec_BE_G)&lt;=0.025,Ec_A_G,NA()),NA())</f>
        <v>#N/A</v>
      </c>
      <c r="H114" s="61" t="e">
        <f>IF(ISNUMBER(Ec_BE_C),IF(ABS($B114-Ec_BE_C)&lt;=0.025,Ec_A_C,NA()),NA())</f>
        <v>#N/A</v>
      </c>
      <c r="I114" s="39">
        <f>IF(MOD(13,20)=0,TEXT($B114,"0"),"")</f>
        <v/>
      </c>
    </row>
    <row r="115" spans="2:9" ht="17" customHeight="1">
      <c r="B115" s="36">
        <v>0.7</v>
      </c>
      <c r="C115" s="61">
        <f>Ec_A_L+Ec_B_L*$B115</f>
        <v>1.34943970927056</v>
      </c>
      <c r="D115" s="61">
        <f>Ec_A_G</f>
        <v>1.0411380717848</v>
      </c>
      <c r="E115" s="61">
        <f>Ec_A_C</f>
        <v>1.22786480392051</v>
      </c>
      <c r="F115" s="61" t="e">
        <f>IF(ABS($B115-Ec_H2)&lt;=0.025,C115,NA())</f>
        <v>#N/A</v>
      </c>
      <c r="G115" s="61" t="e">
        <f>IF(ISNUMBER(Ec_BE_G),IF(ABS($B115-Ec_BE_G)&lt;=0.025,Ec_A_G,NA()),NA())</f>
        <v>#N/A</v>
      </c>
      <c r="H115" s="61" t="e">
        <f>IF(ISNUMBER(Ec_BE_C),IF(ABS($B115-Ec_BE_C)&lt;=0.025,Ec_A_C,NA()),NA())</f>
        <v>#N/A</v>
      </c>
      <c r="I115" s="39">
        <f>IF(MOD(14,20)=0,TEXT($B115,"0"),"")</f>
        <v/>
      </c>
    </row>
    <row r="116" spans="2:9" ht="17" customHeight="1">
      <c r="B116" s="36">
        <v>0.75</v>
      </c>
      <c r="C116" s="61">
        <f>Ec_A_L+Ec_B_L*$B116</f>
        <v>1.35343970927056</v>
      </c>
      <c r="D116" s="61">
        <f>Ec_A_G</f>
        <v>1.0411380717848</v>
      </c>
      <c r="E116" s="61">
        <f>Ec_A_C</f>
        <v>1.22786480392051</v>
      </c>
      <c r="F116" s="61" t="e">
        <f>IF(ABS($B116-Ec_H2)&lt;=0.025,C116,NA())</f>
        <v>#N/A</v>
      </c>
      <c r="G116" s="61" t="e">
        <f>IF(ISNUMBER(Ec_BE_G),IF(ABS($B116-Ec_BE_G)&lt;=0.025,Ec_A_G,NA()),NA())</f>
        <v>#N/A</v>
      </c>
      <c r="H116" s="61" t="e">
        <f>IF(ISNUMBER(Ec_BE_C),IF(ABS($B116-Ec_BE_C)&lt;=0.025,Ec_A_C,NA()),NA())</f>
        <v>#N/A</v>
      </c>
      <c r="I116" s="39">
        <f>IF(MOD(15,20)=0,TEXT($B116,"0"),"")</f>
        <v/>
      </c>
    </row>
    <row r="117" spans="2:9" ht="17" customHeight="1">
      <c r="B117" s="36">
        <v>0.8</v>
      </c>
      <c r="C117" s="61">
        <f>Ec_A_L+Ec_B_L*$B117</f>
        <v>1.35743970927056</v>
      </c>
      <c r="D117" s="61">
        <f>Ec_A_G</f>
        <v>1.0411380717848</v>
      </c>
      <c r="E117" s="61">
        <f>Ec_A_C</f>
        <v>1.22786480392051</v>
      </c>
      <c r="F117" s="61" t="e">
        <f>IF(ABS($B117-Ec_H2)&lt;=0.025,C117,NA())</f>
        <v>#N/A</v>
      </c>
      <c r="G117" s="61" t="e">
        <f>IF(ISNUMBER(Ec_BE_G),IF(ABS($B117-Ec_BE_G)&lt;=0.025,Ec_A_G,NA()),NA())</f>
        <v>#N/A</v>
      </c>
      <c r="H117" s="61" t="e">
        <f>IF(ISNUMBER(Ec_BE_C),IF(ABS($B117-Ec_BE_C)&lt;=0.025,Ec_A_C,NA()),NA())</f>
        <v>#N/A</v>
      </c>
      <c r="I117" s="39">
        <f>IF(MOD(16,20)=0,TEXT($B117,"0"),"")</f>
        <v/>
      </c>
    </row>
    <row r="118" spans="2:9" ht="17" customHeight="1">
      <c r="B118" s="36">
        <v>0.85</v>
      </c>
      <c r="C118" s="61">
        <f>Ec_A_L+Ec_B_L*$B118</f>
        <v>1.36143970927056</v>
      </c>
      <c r="D118" s="61">
        <f>Ec_A_G</f>
        <v>1.0411380717848</v>
      </c>
      <c r="E118" s="61">
        <f>Ec_A_C</f>
        <v>1.22786480392051</v>
      </c>
      <c r="F118" s="61" t="e">
        <f>IF(ABS($B118-Ec_H2)&lt;=0.025,C118,NA())</f>
        <v>#N/A</v>
      </c>
      <c r="G118" s="61" t="e">
        <f>IF(ISNUMBER(Ec_BE_G),IF(ABS($B118-Ec_BE_G)&lt;=0.025,Ec_A_G,NA()),NA())</f>
        <v>#N/A</v>
      </c>
      <c r="H118" s="61" t="e">
        <f>IF(ISNUMBER(Ec_BE_C),IF(ABS($B118-Ec_BE_C)&lt;=0.025,Ec_A_C,NA()),NA())</f>
        <v>#N/A</v>
      </c>
      <c r="I118" s="39">
        <f>IF(MOD(17,20)=0,TEXT($B118,"0"),"")</f>
        <v/>
      </c>
    </row>
    <row r="119" spans="2:9" ht="17" customHeight="1">
      <c r="B119" s="36">
        <v>0.9</v>
      </c>
      <c r="C119" s="61">
        <f>Ec_A_L+Ec_B_L*$B119</f>
        <v>1.36543970927056</v>
      </c>
      <c r="D119" s="61">
        <f>Ec_A_G</f>
        <v>1.0411380717848</v>
      </c>
      <c r="E119" s="61">
        <f>Ec_A_C</f>
        <v>1.22786480392051</v>
      </c>
      <c r="F119" s="61" t="e">
        <f>IF(ABS($B119-Ec_H2)&lt;=0.025,C119,NA())</f>
        <v>#N/A</v>
      </c>
      <c r="G119" s="61" t="e">
        <f>IF(ISNUMBER(Ec_BE_G),IF(ABS($B119-Ec_BE_G)&lt;=0.025,Ec_A_G,NA()),NA())</f>
        <v>#N/A</v>
      </c>
      <c r="H119" s="61" t="e">
        <f>IF(ISNUMBER(Ec_BE_C),IF(ABS($B119-Ec_BE_C)&lt;=0.025,Ec_A_C,NA()),NA())</f>
        <v>#N/A</v>
      </c>
      <c r="I119" s="39">
        <f>IF(MOD(18,20)=0,TEXT($B119,"0"),"")</f>
        <v/>
      </c>
    </row>
    <row r="120" spans="2:9" ht="17" customHeight="1">
      <c r="B120" s="36">
        <v>0.95</v>
      </c>
      <c r="C120" s="61">
        <f>Ec_A_L+Ec_B_L*$B120</f>
        <v>1.36943970927056</v>
      </c>
      <c r="D120" s="61">
        <f>Ec_A_G</f>
        <v>1.0411380717848</v>
      </c>
      <c r="E120" s="61">
        <f>Ec_A_C</f>
        <v>1.22786480392051</v>
      </c>
      <c r="F120" s="61" t="e">
        <f>IF(ABS($B120-Ec_H2)&lt;=0.025,C120,NA())</f>
        <v>#N/A</v>
      </c>
      <c r="G120" s="61" t="e">
        <f>IF(ISNUMBER(Ec_BE_G),IF(ABS($B120-Ec_BE_G)&lt;=0.025,Ec_A_G,NA()),NA())</f>
        <v>#N/A</v>
      </c>
      <c r="H120" s="61" t="e">
        <f>IF(ISNUMBER(Ec_BE_C),IF(ABS($B120-Ec_BE_C)&lt;=0.025,Ec_A_C,NA()),NA())</f>
        <v>#N/A</v>
      </c>
      <c r="I120" s="39">
        <f>IF(MOD(19,20)=0,TEXT($B120,"0"),"")</f>
        <v/>
      </c>
    </row>
    <row r="121" spans="2:9" ht="17" customHeight="1">
      <c r="B121" s="36">
        <v>1</v>
      </c>
      <c r="C121" s="61">
        <f>Ec_A_L+Ec_B_L*$B121</f>
        <v>1.37343970927056</v>
      </c>
      <c r="D121" s="61">
        <f>Ec_A_G</f>
        <v>1.0411380717848</v>
      </c>
      <c r="E121" s="61">
        <f>Ec_A_C</f>
        <v>1.22786480392051</v>
      </c>
      <c r="F121" s="61" t="e">
        <f>IF(ABS($B121-Ec_H2)&lt;=0.025,C121,NA())</f>
        <v>#N/A</v>
      </c>
      <c r="G121" s="61" t="e">
        <f>IF(ISNUMBER(Ec_BE_G),IF(ABS($B121-Ec_BE_G)&lt;=0.025,Ec_A_G,NA()),NA())</f>
        <v>#N/A</v>
      </c>
      <c r="H121" s="61" t="e">
        <f>IF(ISNUMBER(Ec_BE_C),IF(ABS($B121-Ec_BE_C)&lt;=0.025,Ec_A_C,NA()),NA())</f>
        <v>#N/A</v>
      </c>
      <c r="I121" s="39" t="str">
        <f>IF(MOD(20,20)=0,TEXT($B121,"0"),"")</f>
        <v>1</v>
      </c>
    </row>
    <row r="122" spans="2:9" ht="17" customHeight="1">
      <c r="B122" s="36">
        <v>1.05</v>
      </c>
      <c r="C122" s="61">
        <f>Ec_A_L+Ec_B_L*$B122</f>
        <v>1.37743970927056</v>
      </c>
      <c r="D122" s="61">
        <f>Ec_A_G</f>
        <v>1.0411380717848</v>
      </c>
      <c r="E122" s="61">
        <f>Ec_A_C</f>
        <v>1.22786480392051</v>
      </c>
      <c r="F122" s="61" t="e">
        <f>IF(ABS($B122-Ec_H2)&lt;=0.025,C122,NA())</f>
        <v>#N/A</v>
      </c>
      <c r="G122" s="61" t="e">
        <f>IF(ISNUMBER(Ec_BE_G),IF(ABS($B122-Ec_BE_G)&lt;=0.025,Ec_A_G,NA()),NA())</f>
        <v>#N/A</v>
      </c>
      <c r="H122" s="61" t="e">
        <f>IF(ISNUMBER(Ec_BE_C),IF(ABS($B122-Ec_BE_C)&lt;=0.025,Ec_A_C,NA()),NA())</f>
        <v>#N/A</v>
      </c>
      <c r="I122" s="39">
        <f>IF(MOD(21,20)=0,TEXT($B122,"0"),"")</f>
        <v/>
      </c>
    </row>
    <row r="123" spans="2:9" ht="17" customHeight="1">
      <c r="B123" s="36">
        <v>1.1</v>
      </c>
      <c r="C123" s="61">
        <f>Ec_A_L+Ec_B_L*$B123</f>
        <v>1.38143970927056</v>
      </c>
      <c r="D123" s="61">
        <f>Ec_A_G</f>
        <v>1.0411380717848</v>
      </c>
      <c r="E123" s="61">
        <f>Ec_A_C</f>
        <v>1.22786480392051</v>
      </c>
      <c r="F123" s="61" t="e">
        <f>IF(ABS($B123-Ec_H2)&lt;=0.025,C123,NA())</f>
        <v>#N/A</v>
      </c>
      <c r="G123" s="61" t="e">
        <f>IF(ISNUMBER(Ec_BE_G),IF(ABS($B123-Ec_BE_G)&lt;=0.025,Ec_A_G,NA()),NA())</f>
        <v>#N/A</v>
      </c>
      <c r="H123" s="61" t="e">
        <f>IF(ISNUMBER(Ec_BE_C),IF(ABS($B123-Ec_BE_C)&lt;=0.025,Ec_A_C,NA()),NA())</f>
        <v>#N/A</v>
      </c>
      <c r="I123" s="39">
        <f>IF(MOD(22,20)=0,TEXT($B123,"0"),"")</f>
        <v/>
      </c>
    </row>
    <row r="124" spans="2:9" ht="17" customHeight="1">
      <c r="B124" s="36">
        <v>1.15</v>
      </c>
      <c r="C124" s="61">
        <f>Ec_A_L+Ec_B_L*$B124</f>
        <v>1.38543970927056</v>
      </c>
      <c r="D124" s="61">
        <f>Ec_A_G</f>
        <v>1.0411380717848</v>
      </c>
      <c r="E124" s="61">
        <f>Ec_A_C</f>
        <v>1.22786480392051</v>
      </c>
      <c r="F124" s="61" t="e">
        <f>IF(ABS($B124-Ec_H2)&lt;=0.025,C124,NA())</f>
        <v>#N/A</v>
      </c>
      <c r="G124" s="61" t="e">
        <f>IF(ISNUMBER(Ec_BE_G),IF(ABS($B124-Ec_BE_G)&lt;=0.025,Ec_A_G,NA()),NA())</f>
        <v>#N/A</v>
      </c>
      <c r="H124" s="61" t="e">
        <f>IF(ISNUMBER(Ec_BE_C),IF(ABS($B124-Ec_BE_C)&lt;=0.025,Ec_A_C,NA()),NA())</f>
        <v>#N/A</v>
      </c>
      <c r="I124" s="39">
        <f>IF(MOD(23,20)=0,TEXT($B124,"0"),"")</f>
        <v/>
      </c>
    </row>
    <row r="125" spans="2:9" ht="17" customHeight="1">
      <c r="B125" s="36">
        <v>1.2</v>
      </c>
      <c r="C125" s="61">
        <f>Ec_A_L+Ec_B_L*$B125</f>
        <v>1.38943970927056</v>
      </c>
      <c r="D125" s="61">
        <f>Ec_A_G</f>
        <v>1.0411380717848</v>
      </c>
      <c r="E125" s="61">
        <f>Ec_A_C</f>
        <v>1.22786480392051</v>
      </c>
      <c r="F125" s="61" t="e">
        <f>IF(ABS($B125-Ec_H2)&lt;=0.025,C125,NA())</f>
        <v>#N/A</v>
      </c>
      <c r="G125" s="61" t="e">
        <f>IF(ISNUMBER(Ec_BE_G),IF(ABS($B125-Ec_BE_G)&lt;=0.025,Ec_A_G,NA()),NA())</f>
        <v>#N/A</v>
      </c>
      <c r="H125" s="61" t="e">
        <f>IF(ISNUMBER(Ec_BE_C),IF(ABS($B125-Ec_BE_C)&lt;=0.025,Ec_A_C,NA()),NA())</f>
        <v>#N/A</v>
      </c>
      <c r="I125" s="39">
        <f>IF(MOD(24,20)=0,TEXT($B125,"0"),"")</f>
        <v/>
      </c>
    </row>
    <row r="126" spans="2:9" ht="17" customHeight="1">
      <c r="B126" s="36">
        <v>1.25</v>
      </c>
      <c r="C126" s="61">
        <f>Ec_A_L+Ec_B_L*$B126</f>
        <v>1.39343970927056</v>
      </c>
      <c r="D126" s="61">
        <f>Ec_A_G</f>
        <v>1.0411380717848</v>
      </c>
      <c r="E126" s="61">
        <f>Ec_A_C</f>
        <v>1.22786480392051</v>
      </c>
      <c r="F126" s="61" t="e">
        <f>IF(ABS($B126-Ec_H2)&lt;=0.025,C126,NA())</f>
        <v>#N/A</v>
      </c>
      <c r="G126" s="61" t="e">
        <f>IF(ISNUMBER(Ec_BE_G),IF(ABS($B126-Ec_BE_G)&lt;=0.025,Ec_A_G,NA()),NA())</f>
        <v>#N/A</v>
      </c>
      <c r="H126" s="61" t="e">
        <f>IF(ISNUMBER(Ec_BE_C),IF(ABS($B126-Ec_BE_C)&lt;=0.025,Ec_A_C,NA()),NA())</f>
        <v>#N/A</v>
      </c>
      <c r="I126" s="39">
        <f>IF(MOD(25,20)=0,TEXT($B126,"0"),"")</f>
        <v/>
      </c>
    </row>
    <row r="127" spans="2:9" ht="17" customHeight="1">
      <c r="B127" s="36">
        <v>1.3</v>
      </c>
      <c r="C127" s="61">
        <f>Ec_A_L+Ec_B_L*$B127</f>
        <v>1.39743970927056</v>
      </c>
      <c r="D127" s="61">
        <f>Ec_A_G</f>
        <v>1.0411380717848</v>
      </c>
      <c r="E127" s="61">
        <f>Ec_A_C</f>
        <v>1.22786480392051</v>
      </c>
      <c r="F127" s="61" t="e">
        <f>IF(ABS($B127-Ec_H2)&lt;=0.025,C127,NA())</f>
        <v>#N/A</v>
      </c>
      <c r="G127" s="61" t="e">
        <f>IF(ISNUMBER(Ec_BE_G),IF(ABS($B127-Ec_BE_G)&lt;=0.025,Ec_A_G,NA()),NA())</f>
        <v>#N/A</v>
      </c>
      <c r="H127" s="61" t="e">
        <f>IF(ISNUMBER(Ec_BE_C),IF(ABS($B127-Ec_BE_C)&lt;=0.025,Ec_A_C,NA()),NA())</f>
        <v>#N/A</v>
      </c>
      <c r="I127" s="39">
        <f>IF(MOD(26,20)=0,TEXT($B127,"0"),"")</f>
        <v/>
      </c>
    </row>
    <row r="128" spans="2:9" ht="17" customHeight="1">
      <c r="B128" s="36">
        <v>1.35</v>
      </c>
      <c r="C128" s="61">
        <f>Ec_A_L+Ec_B_L*$B128</f>
        <v>1.40143970927056</v>
      </c>
      <c r="D128" s="61">
        <f>Ec_A_G</f>
        <v>1.0411380717848</v>
      </c>
      <c r="E128" s="61">
        <f>Ec_A_C</f>
        <v>1.22786480392051</v>
      </c>
      <c r="F128" s="61" t="e">
        <f>IF(ABS($B128-Ec_H2)&lt;=0.025,C128,NA())</f>
        <v>#N/A</v>
      </c>
      <c r="G128" s="61" t="e">
        <f>IF(ISNUMBER(Ec_BE_G),IF(ABS($B128-Ec_BE_G)&lt;=0.025,Ec_A_G,NA()),NA())</f>
        <v>#N/A</v>
      </c>
      <c r="H128" s="61" t="e">
        <f>IF(ISNUMBER(Ec_BE_C),IF(ABS($B128-Ec_BE_C)&lt;=0.025,Ec_A_C,NA()),NA())</f>
        <v>#N/A</v>
      </c>
      <c r="I128" s="39">
        <f>IF(MOD(27,20)=0,TEXT($B128,"0"),"")</f>
        <v/>
      </c>
    </row>
    <row r="129" spans="2:9" ht="17" customHeight="1">
      <c r="B129" s="36">
        <v>1.4</v>
      </c>
      <c r="C129" s="61">
        <f>Ec_A_L+Ec_B_L*$B129</f>
        <v>1.40543970927056</v>
      </c>
      <c r="D129" s="61">
        <f>Ec_A_G</f>
        <v>1.0411380717848</v>
      </c>
      <c r="E129" s="61">
        <f>Ec_A_C</f>
        <v>1.22786480392051</v>
      </c>
      <c r="F129" s="61" t="e">
        <f>IF(ABS($B129-Ec_H2)&lt;=0.025,C129,NA())</f>
        <v>#N/A</v>
      </c>
      <c r="G129" s="61" t="e">
        <f>IF(ISNUMBER(Ec_BE_G),IF(ABS($B129-Ec_BE_G)&lt;=0.025,Ec_A_G,NA()),NA())</f>
        <v>#N/A</v>
      </c>
      <c r="H129" s="61" t="e">
        <f>IF(ISNUMBER(Ec_BE_C),IF(ABS($B129-Ec_BE_C)&lt;=0.025,Ec_A_C,NA()),NA())</f>
        <v>#N/A</v>
      </c>
      <c r="I129" s="39">
        <f>IF(MOD(28,20)=0,TEXT($B129,"0"),"")</f>
        <v/>
      </c>
    </row>
    <row r="130" spans="2:9" ht="17" customHeight="1">
      <c r="B130" s="36">
        <v>1.45</v>
      </c>
      <c r="C130" s="61">
        <f>Ec_A_L+Ec_B_L*$B130</f>
        <v>1.40943970927056</v>
      </c>
      <c r="D130" s="61">
        <f>Ec_A_G</f>
        <v>1.0411380717848</v>
      </c>
      <c r="E130" s="61">
        <f>Ec_A_C</f>
        <v>1.22786480392051</v>
      </c>
      <c r="F130" s="61" t="e">
        <f>IF(ABS($B130-Ec_H2)&lt;=0.025,C130,NA())</f>
        <v>#N/A</v>
      </c>
      <c r="G130" s="61" t="e">
        <f>IF(ISNUMBER(Ec_BE_G),IF(ABS($B130-Ec_BE_G)&lt;=0.025,Ec_A_G,NA()),NA())</f>
        <v>#N/A</v>
      </c>
      <c r="H130" s="61" t="e">
        <f>IF(ISNUMBER(Ec_BE_C),IF(ABS($B130-Ec_BE_C)&lt;=0.025,Ec_A_C,NA()),NA())</f>
        <v>#N/A</v>
      </c>
      <c r="I130" s="39">
        <f>IF(MOD(29,20)=0,TEXT($B130,"0"),"")</f>
        <v/>
      </c>
    </row>
    <row r="131" spans="2:9" ht="17" customHeight="1">
      <c r="B131" s="36">
        <v>1.5</v>
      </c>
      <c r="C131" s="61">
        <f>Ec_A_L+Ec_B_L*$B131</f>
        <v>1.41343970927056</v>
      </c>
      <c r="D131" s="61">
        <f>Ec_A_G</f>
        <v>1.0411380717848</v>
      </c>
      <c r="E131" s="61">
        <f>Ec_A_C</f>
        <v>1.22786480392051</v>
      </c>
      <c r="F131" s="61" t="e">
        <f>IF(ABS($B131-Ec_H2)&lt;=0.025,C131,NA())</f>
        <v>#N/A</v>
      </c>
      <c r="G131" s="61" t="e">
        <f>IF(ISNUMBER(Ec_BE_G),IF(ABS($B131-Ec_BE_G)&lt;=0.025,Ec_A_G,NA()),NA())</f>
        <v>#N/A</v>
      </c>
      <c r="H131" s="61" t="e">
        <f>IF(ISNUMBER(Ec_BE_C),IF(ABS($B131-Ec_BE_C)&lt;=0.025,Ec_A_C,NA()),NA())</f>
        <v>#N/A</v>
      </c>
      <c r="I131" s="39">
        <f>IF(MOD(30,20)=0,TEXT($B131,"0"),"")</f>
        <v/>
      </c>
    </row>
    <row r="132" spans="2:9" ht="17" customHeight="1">
      <c r="B132" s="36">
        <v>1.55</v>
      </c>
      <c r="C132" s="61">
        <f>Ec_A_L+Ec_B_L*$B132</f>
        <v>1.41743970927056</v>
      </c>
      <c r="D132" s="61">
        <f>Ec_A_G</f>
        <v>1.0411380717848</v>
      </c>
      <c r="E132" s="61">
        <f>Ec_A_C</f>
        <v>1.22786480392051</v>
      </c>
      <c r="F132" s="61" t="e">
        <f>IF(ABS($B132-Ec_H2)&lt;=0.025,C132,NA())</f>
        <v>#N/A</v>
      </c>
      <c r="G132" s="61" t="e">
        <f>IF(ISNUMBER(Ec_BE_G),IF(ABS($B132-Ec_BE_G)&lt;=0.025,Ec_A_G,NA()),NA())</f>
        <v>#N/A</v>
      </c>
      <c r="H132" s="61" t="e">
        <f>IF(ISNUMBER(Ec_BE_C),IF(ABS($B132-Ec_BE_C)&lt;=0.025,Ec_A_C,NA()),NA())</f>
        <v>#N/A</v>
      </c>
      <c r="I132" s="39">
        <f>IF(MOD(31,20)=0,TEXT($B132,"0"),"")</f>
        <v/>
      </c>
    </row>
    <row r="133" spans="2:9" ht="17" customHeight="1">
      <c r="B133" s="36">
        <v>1.6</v>
      </c>
      <c r="C133" s="61">
        <f>Ec_A_L+Ec_B_L*$B133</f>
        <v>1.42143970927056</v>
      </c>
      <c r="D133" s="61">
        <f>Ec_A_G</f>
        <v>1.0411380717848</v>
      </c>
      <c r="E133" s="61">
        <f>Ec_A_C</f>
        <v>1.22786480392051</v>
      </c>
      <c r="F133" s="61" t="e">
        <f>IF(ABS($B133-Ec_H2)&lt;=0.025,C133,NA())</f>
        <v>#N/A</v>
      </c>
      <c r="G133" s="61" t="e">
        <f>IF(ISNUMBER(Ec_BE_G),IF(ABS($B133-Ec_BE_G)&lt;=0.025,Ec_A_G,NA()),NA())</f>
        <v>#N/A</v>
      </c>
      <c r="H133" s="61" t="e">
        <f>IF(ISNUMBER(Ec_BE_C),IF(ABS($B133-Ec_BE_C)&lt;=0.025,Ec_A_C,NA()),NA())</f>
        <v>#N/A</v>
      </c>
      <c r="I133" s="39">
        <f>IF(MOD(32,20)=0,TEXT($B133,"0"),"")</f>
        <v/>
      </c>
    </row>
    <row r="134" spans="2:9" ht="17" customHeight="1">
      <c r="B134" s="36">
        <v>1.65</v>
      </c>
      <c r="C134" s="61">
        <f>Ec_A_L+Ec_B_L*$B134</f>
        <v>1.42543970927056</v>
      </c>
      <c r="D134" s="61">
        <f>Ec_A_G</f>
        <v>1.0411380717848</v>
      </c>
      <c r="E134" s="61">
        <f>Ec_A_C</f>
        <v>1.22786480392051</v>
      </c>
      <c r="F134" s="61" t="e">
        <f>IF(ABS($B134-Ec_H2)&lt;=0.025,C134,NA())</f>
        <v>#N/A</v>
      </c>
      <c r="G134" s="61" t="e">
        <f>IF(ISNUMBER(Ec_BE_G),IF(ABS($B134-Ec_BE_G)&lt;=0.025,Ec_A_G,NA()),NA())</f>
        <v>#N/A</v>
      </c>
      <c r="H134" s="61" t="e">
        <f>IF(ISNUMBER(Ec_BE_C),IF(ABS($B134-Ec_BE_C)&lt;=0.025,Ec_A_C,NA()),NA())</f>
        <v>#N/A</v>
      </c>
      <c r="I134" s="39">
        <f>IF(MOD(33,20)=0,TEXT($B134,"0"),"")</f>
        <v/>
      </c>
    </row>
    <row r="135" spans="2:9" ht="17" customHeight="1">
      <c r="B135" s="36">
        <v>1.7</v>
      </c>
      <c r="C135" s="61">
        <f>Ec_A_L+Ec_B_L*$B135</f>
        <v>1.42943970927056</v>
      </c>
      <c r="D135" s="61">
        <f>Ec_A_G</f>
        <v>1.0411380717848</v>
      </c>
      <c r="E135" s="61">
        <f>Ec_A_C</f>
        <v>1.22786480392051</v>
      </c>
      <c r="F135" s="61" t="e">
        <f>IF(ABS($B135-Ec_H2)&lt;=0.025,C135,NA())</f>
        <v>#N/A</v>
      </c>
      <c r="G135" s="61" t="e">
        <f>IF(ISNUMBER(Ec_BE_G),IF(ABS($B135-Ec_BE_G)&lt;=0.025,Ec_A_G,NA()),NA())</f>
        <v>#N/A</v>
      </c>
      <c r="H135" s="61" t="e">
        <f>IF(ISNUMBER(Ec_BE_C),IF(ABS($B135-Ec_BE_C)&lt;=0.025,Ec_A_C,NA()),NA())</f>
        <v>#N/A</v>
      </c>
      <c r="I135" s="39">
        <f>IF(MOD(34,20)=0,TEXT($B135,"0"),"")</f>
        <v/>
      </c>
    </row>
    <row r="136" spans="2:9" ht="17" customHeight="1">
      <c r="B136" s="36">
        <v>1.75</v>
      </c>
      <c r="C136" s="61">
        <f>Ec_A_L+Ec_B_L*$B136</f>
        <v>1.43343970927056</v>
      </c>
      <c r="D136" s="61">
        <f>Ec_A_G</f>
        <v>1.0411380717848</v>
      </c>
      <c r="E136" s="61">
        <f>Ec_A_C</f>
        <v>1.22786480392051</v>
      </c>
      <c r="F136" s="61" t="e">
        <f>IF(ABS($B136-Ec_H2)&lt;=0.025,C136,NA())</f>
        <v>#N/A</v>
      </c>
      <c r="G136" s="61" t="e">
        <f>IF(ISNUMBER(Ec_BE_G),IF(ABS($B136-Ec_BE_G)&lt;=0.025,Ec_A_G,NA()),NA())</f>
        <v>#N/A</v>
      </c>
      <c r="H136" s="61" t="e">
        <f>IF(ISNUMBER(Ec_BE_C),IF(ABS($B136-Ec_BE_C)&lt;=0.025,Ec_A_C,NA()),NA())</f>
        <v>#N/A</v>
      </c>
      <c r="I136" s="39">
        <f>IF(MOD(35,20)=0,TEXT($B136,"0"),"")</f>
        <v/>
      </c>
    </row>
    <row r="137" spans="2:9" ht="17" customHeight="1">
      <c r="B137" s="36">
        <v>1.8</v>
      </c>
      <c r="C137" s="61">
        <f>Ec_A_L+Ec_B_L*$B137</f>
        <v>1.43743970927056</v>
      </c>
      <c r="D137" s="61">
        <f>Ec_A_G</f>
        <v>1.0411380717848</v>
      </c>
      <c r="E137" s="61">
        <f>Ec_A_C</f>
        <v>1.22786480392051</v>
      </c>
      <c r="F137" s="61" t="e">
        <f>IF(ABS($B137-Ec_H2)&lt;=0.025,C137,NA())</f>
        <v>#N/A</v>
      </c>
      <c r="G137" s="61" t="e">
        <f>IF(ISNUMBER(Ec_BE_G),IF(ABS($B137-Ec_BE_G)&lt;=0.025,Ec_A_G,NA()),NA())</f>
        <v>#N/A</v>
      </c>
      <c r="H137" s="61" t="e">
        <f>IF(ISNUMBER(Ec_BE_C),IF(ABS($B137-Ec_BE_C)&lt;=0.025,Ec_A_C,NA()),NA())</f>
        <v>#N/A</v>
      </c>
      <c r="I137" s="39">
        <f>IF(MOD(36,20)=0,TEXT($B137,"0"),"")</f>
        <v/>
      </c>
    </row>
    <row r="138" spans="2:9" ht="17" customHeight="1">
      <c r="B138" s="36">
        <v>1.85</v>
      </c>
      <c r="C138" s="61">
        <f>Ec_A_L+Ec_B_L*$B138</f>
        <v>1.44143970927056</v>
      </c>
      <c r="D138" s="61">
        <f>Ec_A_G</f>
        <v>1.0411380717848</v>
      </c>
      <c r="E138" s="61">
        <f>Ec_A_C</f>
        <v>1.22786480392051</v>
      </c>
      <c r="F138" s="61" t="e">
        <f>IF(ABS($B138-Ec_H2)&lt;=0.025,C138,NA())</f>
        <v>#N/A</v>
      </c>
      <c r="G138" s="61" t="e">
        <f>IF(ISNUMBER(Ec_BE_G),IF(ABS($B138-Ec_BE_G)&lt;=0.025,Ec_A_G,NA()),NA())</f>
        <v>#N/A</v>
      </c>
      <c r="H138" s="61" t="e">
        <f>IF(ISNUMBER(Ec_BE_C),IF(ABS($B138-Ec_BE_C)&lt;=0.025,Ec_A_C,NA()),NA())</f>
        <v>#N/A</v>
      </c>
      <c r="I138" s="39">
        <f>IF(MOD(37,20)=0,TEXT($B138,"0"),"")</f>
        <v/>
      </c>
    </row>
    <row r="139" spans="2:9" ht="17" customHeight="1">
      <c r="B139" s="36">
        <v>1.9</v>
      </c>
      <c r="C139" s="61">
        <f>Ec_A_L+Ec_B_L*$B139</f>
        <v>1.44543970927056</v>
      </c>
      <c r="D139" s="61">
        <f>Ec_A_G</f>
        <v>1.0411380717848</v>
      </c>
      <c r="E139" s="61">
        <f>Ec_A_C</f>
        <v>1.22786480392051</v>
      </c>
      <c r="F139" s="61" t="e">
        <f>IF(ABS($B139-Ec_H2)&lt;=0.025,C139,NA())</f>
        <v>#N/A</v>
      </c>
      <c r="G139" s="61" t="e">
        <f>IF(ISNUMBER(Ec_BE_G),IF(ABS($B139-Ec_BE_G)&lt;=0.025,Ec_A_G,NA()),NA())</f>
        <v>#N/A</v>
      </c>
      <c r="H139" s="61" t="e">
        <f>IF(ISNUMBER(Ec_BE_C),IF(ABS($B139-Ec_BE_C)&lt;=0.025,Ec_A_C,NA()),NA())</f>
        <v>#N/A</v>
      </c>
      <c r="I139" s="39">
        <f>IF(MOD(38,20)=0,TEXT($B139,"0"),"")</f>
        <v/>
      </c>
    </row>
    <row r="140" spans="2:9" ht="17" customHeight="1">
      <c r="B140" s="36">
        <v>1.95</v>
      </c>
      <c r="C140" s="61">
        <f>Ec_A_L+Ec_B_L*$B140</f>
        <v>1.44943970927056</v>
      </c>
      <c r="D140" s="61">
        <f>Ec_A_G</f>
        <v>1.0411380717848</v>
      </c>
      <c r="E140" s="61">
        <f>Ec_A_C</f>
        <v>1.22786480392051</v>
      </c>
      <c r="F140" s="61" t="e">
        <f>IF(ABS($B140-Ec_H2)&lt;=0.025,C140,NA())</f>
        <v>#N/A</v>
      </c>
      <c r="G140" s="61" t="e">
        <f>IF(ISNUMBER(Ec_BE_G),IF(ABS($B140-Ec_BE_G)&lt;=0.025,Ec_A_G,NA()),NA())</f>
        <v>#N/A</v>
      </c>
      <c r="H140" s="61" t="e">
        <f>IF(ISNUMBER(Ec_BE_C),IF(ABS($B140-Ec_BE_C)&lt;=0.025,Ec_A_C,NA()),NA())</f>
        <v>#N/A</v>
      </c>
      <c r="I140" s="39">
        <f>IF(MOD(39,20)=0,TEXT($B140,"0"),"")</f>
        <v/>
      </c>
    </row>
    <row r="141" spans="2:9" ht="17" customHeight="1">
      <c r="B141" s="36">
        <v>2</v>
      </c>
      <c r="C141" s="61">
        <f>Ec_A_L+Ec_B_L*$B141</f>
        <v>1.45343970927056</v>
      </c>
      <c r="D141" s="61">
        <f>Ec_A_G</f>
        <v>1.0411380717848</v>
      </c>
      <c r="E141" s="61">
        <f>Ec_A_C</f>
        <v>1.22786480392051</v>
      </c>
      <c r="F141" s="61" t="e">
        <f>IF(ABS($B141-Ec_H2)&lt;=0.025,C141,NA())</f>
        <v>#N/A</v>
      </c>
      <c r="G141" s="61" t="e">
        <f>IF(ISNUMBER(Ec_BE_G),IF(ABS($B141-Ec_BE_G)&lt;=0.025,Ec_A_G,NA()),NA())</f>
        <v>#N/A</v>
      </c>
      <c r="H141" s="61" t="e">
        <f>IF(ISNUMBER(Ec_BE_C),IF(ABS($B141-Ec_BE_C)&lt;=0.025,Ec_A_C,NA()),NA())</f>
        <v>#N/A</v>
      </c>
      <c r="I141" s="39" t="str">
        <f>IF(MOD(40,20)=0,TEXT($B141,"0"),"")</f>
        <v>2</v>
      </c>
    </row>
    <row r="142" spans="2:9" ht="17" customHeight="1">
      <c r="B142" s="36">
        <v>2.05</v>
      </c>
      <c r="C142" s="61">
        <f>Ec_A_L+Ec_B_L*$B142</f>
        <v>1.45743970927056</v>
      </c>
      <c r="D142" s="61">
        <f>Ec_A_G</f>
        <v>1.0411380717848</v>
      </c>
      <c r="E142" s="61">
        <f>Ec_A_C</f>
        <v>1.22786480392051</v>
      </c>
      <c r="F142" s="61" t="e">
        <f>IF(ABS($B142-Ec_H2)&lt;=0.025,C142,NA())</f>
        <v>#N/A</v>
      </c>
      <c r="G142" s="61" t="e">
        <f>IF(ISNUMBER(Ec_BE_G),IF(ABS($B142-Ec_BE_G)&lt;=0.025,Ec_A_G,NA()),NA())</f>
        <v>#N/A</v>
      </c>
      <c r="H142" s="61" t="e">
        <f>IF(ISNUMBER(Ec_BE_C),IF(ABS($B142-Ec_BE_C)&lt;=0.025,Ec_A_C,NA()),NA())</f>
        <v>#N/A</v>
      </c>
      <c r="I142" s="39">
        <f>IF(MOD(41,20)=0,TEXT($B142,"0"),"")</f>
        <v/>
      </c>
    </row>
    <row r="143" spans="2:9" ht="17" customHeight="1">
      <c r="B143" s="36">
        <v>2.1</v>
      </c>
      <c r="C143" s="61">
        <f>Ec_A_L+Ec_B_L*$B143</f>
        <v>1.46143970927056</v>
      </c>
      <c r="D143" s="61">
        <f>Ec_A_G</f>
        <v>1.0411380717848</v>
      </c>
      <c r="E143" s="61">
        <f>Ec_A_C</f>
        <v>1.22786480392051</v>
      </c>
      <c r="F143" s="61" t="e">
        <f>IF(ABS($B143-Ec_H2)&lt;=0.025,C143,NA())</f>
        <v>#N/A</v>
      </c>
      <c r="G143" s="61" t="e">
        <f>IF(ISNUMBER(Ec_BE_G),IF(ABS($B143-Ec_BE_G)&lt;=0.025,Ec_A_G,NA()),NA())</f>
        <v>#N/A</v>
      </c>
      <c r="H143" s="61" t="e">
        <f>IF(ISNUMBER(Ec_BE_C),IF(ABS($B143-Ec_BE_C)&lt;=0.025,Ec_A_C,NA()),NA())</f>
        <v>#N/A</v>
      </c>
      <c r="I143" s="39">
        <f>IF(MOD(42,20)=0,TEXT($B143,"0"),"")</f>
        <v/>
      </c>
    </row>
    <row r="144" spans="2:9" ht="17" customHeight="1">
      <c r="B144" s="36">
        <v>2.15</v>
      </c>
      <c r="C144" s="61">
        <f>Ec_A_L+Ec_B_L*$B144</f>
        <v>1.46543970927056</v>
      </c>
      <c r="D144" s="61">
        <f>Ec_A_G</f>
        <v>1.0411380717848</v>
      </c>
      <c r="E144" s="61">
        <f>Ec_A_C</f>
        <v>1.22786480392051</v>
      </c>
      <c r="F144" s="61" t="e">
        <f>IF(ABS($B144-Ec_H2)&lt;=0.025,C144,NA())</f>
        <v>#N/A</v>
      </c>
      <c r="G144" s="61" t="e">
        <f>IF(ISNUMBER(Ec_BE_G),IF(ABS($B144-Ec_BE_G)&lt;=0.025,Ec_A_G,NA()),NA())</f>
        <v>#N/A</v>
      </c>
      <c r="H144" s="61" t="e">
        <f>IF(ISNUMBER(Ec_BE_C),IF(ABS($B144-Ec_BE_C)&lt;=0.025,Ec_A_C,NA()),NA())</f>
        <v>#N/A</v>
      </c>
      <c r="I144" s="39">
        <f>IF(MOD(43,20)=0,TEXT($B144,"0"),"")</f>
        <v/>
      </c>
    </row>
    <row r="145" spans="2:9" ht="17" customHeight="1">
      <c r="B145" s="36">
        <v>2.2</v>
      </c>
      <c r="C145" s="61">
        <f>Ec_A_L+Ec_B_L*$B145</f>
        <v>1.46943970927056</v>
      </c>
      <c r="D145" s="61">
        <f>Ec_A_G</f>
        <v>1.0411380717848</v>
      </c>
      <c r="E145" s="61">
        <f>Ec_A_C</f>
        <v>1.22786480392051</v>
      </c>
      <c r="F145" s="61" t="e">
        <f>IF(ABS($B145-Ec_H2)&lt;=0.025,C145,NA())</f>
        <v>#N/A</v>
      </c>
      <c r="G145" s="61" t="e">
        <f>IF(ISNUMBER(Ec_BE_G),IF(ABS($B145-Ec_BE_G)&lt;=0.025,Ec_A_G,NA()),NA())</f>
        <v>#N/A</v>
      </c>
      <c r="H145" s="61" t="e">
        <f>IF(ISNUMBER(Ec_BE_C),IF(ABS($B145-Ec_BE_C)&lt;=0.025,Ec_A_C,NA()),NA())</f>
        <v>#N/A</v>
      </c>
      <c r="I145" s="39">
        <f>IF(MOD(44,20)=0,TEXT($B145,"0"),"")</f>
        <v/>
      </c>
    </row>
    <row r="146" spans="2:9" ht="17" customHeight="1">
      <c r="B146" s="36">
        <v>2.25</v>
      </c>
      <c r="C146" s="61">
        <f>Ec_A_L+Ec_B_L*$B146</f>
        <v>1.47343970927056</v>
      </c>
      <c r="D146" s="61">
        <f>Ec_A_G</f>
        <v>1.0411380717848</v>
      </c>
      <c r="E146" s="61">
        <f>Ec_A_C</f>
        <v>1.22786480392051</v>
      </c>
      <c r="F146" s="61" t="e">
        <f>IF(ABS($B146-Ec_H2)&lt;=0.025,C146,NA())</f>
        <v>#N/A</v>
      </c>
      <c r="G146" s="61" t="e">
        <f>IF(ISNUMBER(Ec_BE_G),IF(ABS($B146-Ec_BE_G)&lt;=0.025,Ec_A_G,NA()),NA())</f>
        <v>#N/A</v>
      </c>
      <c r="H146" s="61" t="e">
        <f>IF(ISNUMBER(Ec_BE_C),IF(ABS($B146-Ec_BE_C)&lt;=0.025,Ec_A_C,NA()),NA())</f>
        <v>#N/A</v>
      </c>
      <c r="I146" s="39">
        <f>IF(MOD(45,20)=0,TEXT($B146,"0"),"")</f>
        <v/>
      </c>
    </row>
    <row r="147" spans="2:9" ht="17" customHeight="1">
      <c r="B147" s="36">
        <v>2.3</v>
      </c>
      <c r="C147" s="61">
        <f>Ec_A_L+Ec_B_L*$B147</f>
        <v>1.47743970927056</v>
      </c>
      <c r="D147" s="61">
        <f>Ec_A_G</f>
        <v>1.0411380717848</v>
      </c>
      <c r="E147" s="61">
        <f>Ec_A_C</f>
        <v>1.22786480392051</v>
      </c>
      <c r="F147" s="61" t="e">
        <f>IF(ABS($B147-Ec_H2)&lt;=0.025,C147,NA())</f>
        <v>#N/A</v>
      </c>
      <c r="G147" s="61" t="e">
        <f>IF(ISNUMBER(Ec_BE_G),IF(ABS($B147-Ec_BE_G)&lt;=0.025,Ec_A_G,NA()),NA())</f>
        <v>#N/A</v>
      </c>
      <c r="H147" s="61" t="e">
        <f>IF(ISNUMBER(Ec_BE_C),IF(ABS($B147-Ec_BE_C)&lt;=0.025,Ec_A_C,NA()),NA())</f>
        <v>#N/A</v>
      </c>
      <c r="I147" s="39">
        <f>IF(MOD(46,20)=0,TEXT($B147,"0"),"")</f>
        <v/>
      </c>
    </row>
    <row r="148" spans="2:9" ht="17" customHeight="1">
      <c r="B148" s="36">
        <v>2.35</v>
      </c>
      <c r="C148" s="61">
        <f>Ec_A_L+Ec_B_L*$B148</f>
        <v>1.48143970927056</v>
      </c>
      <c r="D148" s="61">
        <f>Ec_A_G</f>
        <v>1.0411380717848</v>
      </c>
      <c r="E148" s="61">
        <f>Ec_A_C</f>
        <v>1.22786480392051</v>
      </c>
      <c r="F148" s="61" t="e">
        <f>IF(ABS($B148-Ec_H2)&lt;=0.025,C148,NA())</f>
        <v>#N/A</v>
      </c>
      <c r="G148" s="61" t="e">
        <f>IF(ISNUMBER(Ec_BE_G),IF(ABS($B148-Ec_BE_G)&lt;=0.025,Ec_A_G,NA()),NA())</f>
        <v>#N/A</v>
      </c>
      <c r="H148" s="61" t="e">
        <f>IF(ISNUMBER(Ec_BE_C),IF(ABS($B148-Ec_BE_C)&lt;=0.025,Ec_A_C,NA()),NA())</f>
        <v>#N/A</v>
      </c>
      <c r="I148" s="39">
        <f>IF(MOD(47,20)=0,TEXT($B148,"0"),"")</f>
        <v/>
      </c>
    </row>
    <row r="149" spans="2:9" ht="17" customHeight="1">
      <c r="B149" s="36">
        <v>2.4</v>
      </c>
      <c r="C149" s="61">
        <f>Ec_A_L+Ec_B_L*$B149</f>
        <v>1.48543970927056</v>
      </c>
      <c r="D149" s="61">
        <f>Ec_A_G</f>
        <v>1.0411380717848</v>
      </c>
      <c r="E149" s="61">
        <f>Ec_A_C</f>
        <v>1.22786480392051</v>
      </c>
      <c r="F149" s="61" t="e">
        <f>IF(ABS($B149-Ec_H2)&lt;=0.025,C149,NA())</f>
        <v>#N/A</v>
      </c>
      <c r="G149" s="61" t="e">
        <f>IF(ISNUMBER(Ec_BE_G),IF(ABS($B149-Ec_BE_G)&lt;=0.025,Ec_A_G,NA()),NA())</f>
        <v>#N/A</v>
      </c>
      <c r="H149" s="61" t="e">
        <f>IF(ISNUMBER(Ec_BE_C),IF(ABS($B149-Ec_BE_C)&lt;=0.025,Ec_A_C,NA()),NA())</f>
        <v>#N/A</v>
      </c>
      <c r="I149" s="39">
        <f>IF(MOD(48,20)=0,TEXT($B149,"0"),"")</f>
        <v/>
      </c>
    </row>
    <row r="150" spans="2:9" ht="17" customHeight="1">
      <c r="B150" s="36">
        <v>2.45</v>
      </c>
      <c r="C150" s="61">
        <f>Ec_A_L+Ec_B_L*$B150</f>
        <v>1.48943970927056</v>
      </c>
      <c r="D150" s="61">
        <f>Ec_A_G</f>
        <v>1.0411380717848</v>
      </c>
      <c r="E150" s="61">
        <f>Ec_A_C</f>
        <v>1.22786480392051</v>
      </c>
      <c r="F150" s="61" t="e">
        <f>IF(ABS($B150-Ec_H2)&lt;=0.025,C150,NA())</f>
        <v>#N/A</v>
      </c>
      <c r="G150" s="61" t="e">
        <f>IF(ISNUMBER(Ec_BE_G),IF(ABS($B150-Ec_BE_G)&lt;=0.025,Ec_A_G,NA()),NA())</f>
        <v>#N/A</v>
      </c>
      <c r="H150" s="61" t="e">
        <f>IF(ISNUMBER(Ec_BE_C),IF(ABS($B150-Ec_BE_C)&lt;=0.025,Ec_A_C,NA()),NA())</f>
        <v>#N/A</v>
      </c>
      <c r="I150" s="39">
        <f>IF(MOD(49,20)=0,TEXT($B150,"0"),"")</f>
        <v/>
      </c>
    </row>
    <row r="151" spans="2:9" ht="17" customHeight="1">
      <c r="B151" s="36">
        <v>2.5</v>
      </c>
      <c r="C151" s="61">
        <f>Ec_A_L+Ec_B_L*$B151</f>
        <v>1.49343970927056</v>
      </c>
      <c r="D151" s="61">
        <f>Ec_A_G</f>
        <v>1.0411380717848</v>
      </c>
      <c r="E151" s="61">
        <f>Ec_A_C</f>
        <v>1.22786480392051</v>
      </c>
      <c r="F151" s="61" t="e">
        <f>IF(ABS($B151-Ec_H2)&lt;=0.025,C151,NA())</f>
        <v>#N/A</v>
      </c>
      <c r="G151" s="61" t="e">
        <f>IF(ISNUMBER(Ec_BE_G),IF(ABS($B151-Ec_BE_G)&lt;=0.025,Ec_A_G,NA()),NA())</f>
        <v>#N/A</v>
      </c>
      <c r="H151" s="61" t="e">
        <f>IF(ISNUMBER(Ec_BE_C),IF(ABS($B151-Ec_BE_C)&lt;=0.025,Ec_A_C,NA()),NA())</f>
        <v>#N/A</v>
      </c>
      <c r="I151" s="39">
        <f>IF(MOD(50,20)=0,TEXT($B151,"0"),"")</f>
        <v/>
      </c>
    </row>
    <row r="152" spans="2:9" ht="17" customHeight="1">
      <c r="B152" s="36">
        <v>2.55</v>
      </c>
      <c r="C152" s="61">
        <f>Ec_A_L+Ec_B_L*$B152</f>
        <v>1.49743970927056</v>
      </c>
      <c r="D152" s="61">
        <f>Ec_A_G</f>
        <v>1.0411380717848</v>
      </c>
      <c r="E152" s="61">
        <f>Ec_A_C</f>
        <v>1.22786480392051</v>
      </c>
      <c r="F152" s="61" t="e">
        <f>IF(ABS($B152-Ec_H2)&lt;=0.025,C152,NA())</f>
        <v>#N/A</v>
      </c>
      <c r="G152" s="61" t="e">
        <f>IF(ISNUMBER(Ec_BE_G),IF(ABS($B152-Ec_BE_G)&lt;=0.025,Ec_A_G,NA()),NA())</f>
        <v>#N/A</v>
      </c>
      <c r="H152" s="61" t="e">
        <f>IF(ISNUMBER(Ec_BE_C),IF(ABS($B152-Ec_BE_C)&lt;=0.025,Ec_A_C,NA()),NA())</f>
        <v>#N/A</v>
      </c>
      <c r="I152" s="39">
        <f>IF(MOD(51,20)=0,TEXT($B152,"0"),"")</f>
        <v/>
      </c>
    </row>
    <row r="153" spans="2:9" ht="17" customHeight="1">
      <c r="B153" s="36">
        <v>2.6</v>
      </c>
      <c r="C153" s="61">
        <f>Ec_A_L+Ec_B_L*$B153</f>
        <v>1.50143970927056</v>
      </c>
      <c r="D153" s="61">
        <f>Ec_A_G</f>
        <v>1.0411380717848</v>
      </c>
      <c r="E153" s="61">
        <f>Ec_A_C</f>
        <v>1.22786480392051</v>
      </c>
      <c r="F153" s="61" t="e">
        <f>IF(ABS($B153-Ec_H2)&lt;=0.025,C153,NA())</f>
        <v>#N/A</v>
      </c>
      <c r="G153" s="61" t="e">
        <f>IF(ISNUMBER(Ec_BE_G),IF(ABS($B153-Ec_BE_G)&lt;=0.025,Ec_A_G,NA()),NA())</f>
        <v>#N/A</v>
      </c>
      <c r="H153" s="61" t="e">
        <f>IF(ISNUMBER(Ec_BE_C),IF(ABS($B153-Ec_BE_C)&lt;=0.025,Ec_A_C,NA()),NA())</f>
        <v>#N/A</v>
      </c>
      <c r="I153" s="39">
        <f>IF(MOD(52,20)=0,TEXT($B153,"0"),"")</f>
        <v/>
      </c>
    </row>
    <row r="154" spans="2:9" ht="17" customHeight="1">
      <c r="B154" s="36">
        <v>2.65</v>
      </c>
      <c r="C154" s="61">
        <f>Ec_A_L+Ec_B_L*$B154</f>
        <v>1.50543970927056</v>
      </c>
      <c r="D154" s="61">
        <f>Ec_A_G</f>
        <v>1.0411380717848</v>
      </c>
      <c r="E154" s="61">
        <f>Ec_A_C</f>
        <v>1.22786480392051</v>
      </c>
      <c r="F154" s="61" t="e">
        <f>IF(ABS($B154-Ec_H2)&lt;=0.025,C154,NA())</f>
        <v>#N/A</v>
      </c>
      <c r="G154" s="61" t="e">
        <f>IF(ISNUMBER(Ec_BE_G),IF(ABS($B154-Ec_BE_G)&lt;=0.025,Ec_A_G,NA()),NA())</f>
        <v>#N/A</v>
      </c>
      <c r="H154" s="61" t="e">
        <f>IF(ISNUMBER(Ec_BE_C),IF(ABS($B154-Ec_BE_C)&lt;=0.025,Ec_A_C,NA()),NA())</f>
        <v>#N/A</v>
      </c>
      <c r="I154" s="39">
        <f>IF(MOD(53,20)=0,TEXT($B154,"0"),"")</f>
        <v/>
      </c>
    </row>
    <row r="155" spans="2:9" ht="17" customHeight="1">
      <c r="B155" s="36">
        <v>2.7</v>
      </c>
      <c r="C155" s="61">
        <f>Ec_A_L+Ec_B_L*$B155</f>
        <v>1.50943970927056</v>
      </c>
      <c r="D155" s="61">
        <f>Ec_A_G</f>
        <v>1.0411380717848</v>
      </c>
      <c r="E155" s="61">
        <f>Ec_A_C</f>
        <v>1.22786480392051</v>
      </c>
      <c r="F155" s="61" t="e">
        <f>IF(ABS($B155-Ec_H2)&lt;=0.025,C155,NA())</f>
        <v>#N/A</v>
      </c>
      <c r="G155" s="61" t="e">
        <f>IF(ISNUMBER(Ec_BE_G),IF(ABS($B155-Ec_BE_G)&lt;=0.025,Ec_A_G,NA()),NA())</f>
        <v>#N/A</v>
      </c>
      <c r="H155" s="61" t="e">
        <f>IF(ISNUMBER(Ec_BE_C),IF(ABS($B155-Ec_BE_C)&lt;=0.025,Ec_A_C,NA()),NA())</f>
        <v>#N/A</v>
      </c>
      <c r="I155" s="39">
        <f>IF(MOD(54,20)=0,TEXT($B155,"0"),"")</f>
        <v/>
      </c>
    </row>
    <row r="156" spans="2:9" ht="17" customHeight="1">
      <c r="B156" s="36">
        <v>2.75</v>
      </c>
      <c r="C156" s="61">
        <f>Ec_A_L+Ec_B_L*$B156</f>
        <v>1.51343970927056</v>
      </c>
      <c r="D156" s="61">
        <f>Ec_A_G</f>
        <v>1.0411380717848</v>
      </c>
      <c r="E156" s="61">
        <f>Ec_A_C</f>
        <v>1.22786480392051</v>
      </c>
      <c r="F156" s="61" t="e">
        <f>IF(ABS($B156-Ec_H2)&lt;=0.025,C156,NA())</f>
        <v>#N/A</v>
      </c>
      <c r="G156" s="61" t="e">
        <f>IF(ISNUMBER(Ec_BE_G),IF(ABS($B156-Ec_BE_G)&lt;=0.025,Ec_A_G,NA()),NA())</f>
        <v>#N/A</v>
      </c>
      <c r="H156" s="61" t="e">
        <f>IF(ISNUMBER(Ec_BE_C),IF(ABS($B156-Ec_BE_C)&lt;=0.025,Ec_A_C,NA()),NA())</f>
        <v>#N/A</v>
      </c>
      <c r="I156" s="39">
        <f>IF(MOD(55,20)=0,TEXT($B156,"0"),"")</f>
        <v/>
      </c>
    </row>
    <row r="157" spans="2:9" ht="17" customHeight="1">
      <c r="B157" s="36">
        <v>2.8</v>
      </c>
      <c r="C157" s="61">
        <f>Ec_A_L+Ec_B_L*$B157</f>
        <v>1.51743970927056</v>
      </c>
      <c r="D157" s="61">
        <f>Ec_A_G</f>
        <v>1.0411380717848</v>
      </c>
      <c r="E157" s="61">
        <f>Ec_A_C</f>
        <v>1.22786480392051</v>
      </c>
      <c r="F157" s="61" t="e">
        <f>IF(ABS($B157-Ec_H2)&lt;=0.025,C157,NA())</f>
        <v>#N/A</v>
      </c>
      <c r="G157" s="61" t="e">
        <f>IF(ISNUMBER(Ec_BE_G),IF(ABS($B157-Ec_BE_G)&lt;=0.025,Ec_A_G,NA()),NA())</f>
        <v>#N/A</v>
      </c>
      <c r="H157" s="61" t="e">
        <f>IF(ISNUMBER(Ec_BE_C),IF(ABS($B157-Ec_BE_C)&lt;=0.025,Ec_A_C,NA()),NA())</f>
        <v>#N/A</v>
      </c>
      <c r="I157" s="39">
        <f>IF(MOD(56,20)=0,TEXT($B157,"0"),"")</f>
        <v/>
      </c>
    </row>
    <row r="158" spans="2:9" ht="17" customHeight="1">
      <c r="B158" s="36">
        <v>2.85</v>
      </c>
      <c r="C158" s="61">
        <f>Ec_A_L+Ec_B_L*$B158</f>
        <v>1.52143970927056</v>
      </c>
      <c r="D158" s="61">
        <f>Ec_A_G</f>
        <v>1.0411380717848</v>
      </c>
      <c r="E158" s="61">
        <f>Ec_A_C</f>
        <v>1.22786480392051</v>
      </c>
      <c r="F158" s="61" t="e">
        <f>IF(ABS($B158-Ec_H2)&lt;=0.025,C158,NA())</f>
        <v>#N/A</v>
      </c>
      <c r="G158" s="61" t="e">
        <f>IF(ISNUMBER(Ec_BE_G),IF(ABS($B158-Ec_BE_G)&lt;=0.025,Ec_A_G,NA()),NA())</f>
        <v>#N/A</v>
      </c>
      <c r="H158" s="61" t="e">
        <f>IF(ISNUMBER(Ec_BE_C),IF(ABS($B158-Ec_BE_C)&lt;=0.025,Ec_A_C,NA()),NA())</f>
        <v>#N/A</v>
      </c>
      <c r="I158" s="39">
        <f>IF(MOD(57,20)=0,TEXT($B158,"0"),"")</f>
        <v/>
      </c>
    </row>
    <row r="159" spans="2:9" ht="17" customHeight="1">
      <c r="B159" s="36">
        <v>2.9</v>
      </c>
      <c r="C159" s="61">
        <f>Ec_A_L+Ec_B_L*$B159</f>
        <v>1.52543970927056</v>
      </c>
      <c r="D159" s="61">
        <f>Ec_A_G</f>
        <v>1.0411380717848</v>
      </c>
      <c r="E159" s="61">
        <f>Ec_A_C</f>
        <v>1.22786480392051</v>
      </c>
      <c r="F159" s="61" t="e">
        <f>IF(ABS($B159-Ec_H2)&lt;=0.025,C159,NA())</f>
        <v>#N/A</v>
      </c>
      <c r="G159" s="61" t="e">
        <f>IF(ISNUMBER(Ec_BE_G),IF(ABS($B159-Ec_BE_G)&lt;=0.025,Ec_A_G,NA()),NA())</f>
        <v>#N/A</v>
      </c>
      <c r="H159" s="61" t="e">
        <f>IF(ISNUMBER(Ec_BE_C),IF(ABS($B159-Ec_BE_C)&lt;=0.025,Ec_A_C,NA()),NA())</f>
        <v>#N/A</v>
      </c>
      <c r="I159" s="39">
        <f>IF(MOD(58,20)=0,TEXT($B159,"0"),"")</f>
        <v/>
      </c>
    </row>
    <row r="160" spans="2:9" ht="17" customHeight="1">
      <c r="B160" s="36">
        <v>2.95</v>
      </c>
      <c r="C160" s="61">
        <f>Ec_A_L+Ec_B_L*$B160</f>
        <v>1.52943970927056</v>
      </c>
      <c r="D160" s="61">
        <f>Ec_A_G</f>
        <v>1.0411380717848</v>
      </c>
      <c r="E160" s="61">
        <f>Ec_A_C</f>
        <v>1.22786480392051</v>
      </c>
      <c r="F160" s="61" t="e">
        <f>IF(ABS($B160-Ec_H2)&lt;=0.025,C160,NA())</f>
        <v>#N/A</v>
      </c>
      <c r="G160" s="61" t="e">
        <f>IF(ISNUMBER(Ec_BE_G),IF(ABS($B160-Ec_BE_G)&lt;=0.025,Ec_A_G,NA()),NA())</f>
        <v>#N/A</v>
      </c>
      <c r="H160" s="61" t="e">
        <f>IF(ISNUMBER(Ec_BE_C),IF(ABS($B160-Ec_BE_C)&lt;=0.025,Ec_A_C,NA()),NA())</f>
        <v>#N/A</v>
      </c>
      <c r="I160" s="39">
        <f>IF(MOD(59,20)=0,TEXT($B160,"0"),"")</f>
        <v/>
      </c>
    </row>
    <row r="161" spans="2:9" ht="17" customHeight="1">
      <c r="B161" s="36">
        <v>3</v>
      </c>
      <c r="C161" s="61">
        <f>Ec_A_L+Ec_B_L*$B161</f>
        <v>1.53343970927056</v>
      </c>
      <c r="D161" s="61">
        <f>Ec_A_G</f>
        <v>1.0411380717848</v>
      </c>
      <c r="E161" s="61">
        <f>Ec_A_C</f>
        <v>1.22786480392051</v>
      </c>
      <c r="F161" s="61" t="e">
        <f>IF(ABS($B161-Ec_H2)&lt;=0.025,C161,NA())</f>
        <v>#N/A</v>
      </c>
      <c r="G161" s="61" t="e">
        <f>IF(ISNUMBER(Ec_BE_G),IF(ABS($B161-Ec_BE_G)&lt;=0.025,Ec_A_G,NA()),NA())</f>
        <v>#N/A</v>
      </c>
      <c r="H161" s="61" t="e">
        <f>IF(ISNUMBER(Ec_BE_C),IF(ABS($B161-Ec_BE_C)&lt;=0.025,Ec_A_C,NA()),NA())</f>
        <v>#N/A</v>
      </c>
      <c r="I161" s="39" t="str">
        <f>IF(MOD(60,20)=0,TEXT($B161,"0"),"")</f>
        <v>3</v>
      </c>
    </row>
    <row r="162" spans="2:9" ht="17" customHeight="1">
      <c r="B162" s="36">
        <v>3.05</v>
      </c>
      <c r="C162" s="61">
        <f>Ec_A_L+Ec_B_L*$B162</f>
        <v>1.53743970927056</v>
      </c>
      <c r="D162" s="61">
        <f>Ec_A_G</f>
        <v>1.0411380717848</v>
      </c>
      <c r="E162" s="61">
        <f>Ec_A_C</f>
        <v>1.22786480392051</v>
      </c>
      <c r="F162" s="61" t="e">
        <f>IF(ABS($B162-Ec_H2)&lt;=0.025,C162,NA())</f>
        <v>#N/A</v>
      </c>
      <c r="G162" s="61" t="e">
        <f>IF(ISNUMBER(Ec_BE_G),IF(ABS($B162-Ec_BE_G)&lt;=0.025,Ec_A_G,NA()),NA())</f>
        <v>#N/A</v>
      </c>
      <c r="H162" s="61" t="e">
        <f>IF(ISNUMBER(Ec_BE_C),IF(ABS($B162-Ec_BE_C)&lt;=0.025,Ec_A_C,NA()),NA())</f>
        <v>#N/A</v>
      </c>
      <c r="I162" s="39">
        <f>IF(MOD(61,20)=0,TEXT($B162,"0"),"")</f>
        <v/>
      </c>
    </row>
    <row r="163" spans="2:9" ht="17" customHeight="1">
      <c r="B163" s="36">
        <v>3.1</v>
      </c>
      <c r="C163" s="61">
        <f>Ec_A_L+Ec_B_L*$B163</f>
        <v>1.54143970927056</v>
      </c>
      <c r="D163" s="61">
        <f>Ec_A_G</f>
        <v>1.0411380717848</v>
      </c>
      <c r="E163" s="61">
        <f>Ec_A_C</f>
        <v>1.22786480392051</v>
      </c>
      <c r="F163" s="61" t="e">
        <f>IF(ABS($B163-Ec_H2)&lt;=0.025,C163,NA())</f>
        <v>#N/A</v>
      </c>
      <c r="G163" s="61" t="e">
        <f>IF(ISNUMBER(Ec_BE_G),IF(ABS($B163-Ec_BE_G)&lt;=0.025,Ec_A_G,NA()),NA())</f>
        <v>#N/A</v>
      </c>
      <c r="H163" s="61" t="e">
        <f>IF(ISNUMBER(Ec_BE_C),IF(ABS($B163-Ec_BE_C)&lt;=0.025,Ec_A_C,NA()),NA())</f>
        <v>#N/A</v>
      </c>
      <c r="I163" s="39">
        <f>IF(MOD(62,20)=0,TEXT($B163,"0"),"")</f>
        <v/>
      </c>
    </row>
    <row r="164" spans="2:9" ht="17" customHeight="1">
      <c r="B164" s="36">
        <v>3.15</v>
      </c>
      <c r="C164" s="61">
        <f>Ec_A_L+Ec_B_L*$B164</f>
        <v>1.54543970927056</v>
      </c>
      <c r="D164" s="61">
        <f>Ec_A_G</f>
        <v>1.0411380717848</v>
      </c>
      <c r="E164" s="61">
        <f>Ec_A_C</f>
        <v>1.22786480392051</v>
      </c>
      <c r="F164" s="61" t="e">
        <f>IF(ABS($B164-Ec_H2)&lt;=0.025,C164,NA())</f>
        <v>#N/A</v>
      </c>
      <c r="G164" s="61" t="e">
        <f>IF(ISNUMBER(Ec_BE_G),IF(ABS($B164-Ec_BE_G)&lt;=0.025,Ec_A_G,NA()),NA())</f>
        <v>#N/A</v>
      </c>
      <c r="H164" s="61" t="e">
        <f>IF(ISNUMBER(Ec_BE_C),IF(ABS($B164-Ec_BE_C)&lt;=0.025,Ec_A_C,NA()),NA())</f>
        <v>#N/A</v>
      </c>
      <c r="I164" s="39">
        <f>IF(MOD(63,20)=0,TEXT($B164,"0"),"")</f>
        <v/>
      </c>
    </row>
    <row r="165" spans="2:9" ht="17" customHeight="1">
      <c r="B165" s="36">
        <v>3.2</v>
      </c>
      <c r="C165" s="61">
        <f>Ec_A_L+Ec_B_L*$B165</f>
        <v>1.54943970927056</v>
      </c>
      <c r="D165" s="61">
        <f>Ec_A_G</f>
        <v>1.0411380717848</v>
      </c>
      <c r="E165" s="61">
        <f>Ec_A_C</f>
        <v>1.22786480392051</v>
      </c>
      <c r="F165" s="61" t="e">
        <f>IF(ABS($B165-Ec_H2)&lt;=0.025,C165,NA())</f>
        <v>#N/A</v>
      </c>
      <c r="G165" s="61" t="e">
        <f>IF(ISNUMBER(Ec_BE_G),IF(ABS($B165-Ec_BE_G)&lt;=0.025,Ec_A_G,NA()),NA())</f>
        <v>#N/A</v>
      </c>
      <c r="H165" s="61" t="e">
        <f>IF(ISNUMBER(Ec_BE_C),IF(ABS($B165-Ec_BE_C)&lt;=0.025,Ec_A_C,NA()),NA())</f>
        <v>#N/A</v>
      </c>
      <c r="I165" s="39">
        <f>IF(MOD(64,20)=0,TEXT($B165,"0"),"")</f>
        <v/>
      </c>
    </row>
    <row r="166" spans="2:9" ht="17" customHeight="1">
      <c r="B166" s="36">
        <v>3.25</v>
      </c>
      <c r="C166" s="61">
        <f>Ec_A_L+Ec_B_L*$B166</f>
        <v>1.55343970927056</v>
      </c>
      <c r="D166" s="61">
        <f>Ec_A_G</f>
        <v>1.0411380717848</v>
      </c>
      <c r="E166" s="61">
        <f>Ec_A_C</f>
        <v>1.22786480392051</v>
      </c>
      <c r="F166" s="61" t="e">
        <f>IF(ABS($B166-Ec_H2)&lt;=0.025,C166,NA())</f>
        <v>#N/A</v>
      </c>
      <c r="G166" s="61" t="e">
        <f>IF(ISNUMBER(Ec_BE_G),IF(ABS($B166-Ec_BE_G)&lt;=0.025,Ec_A_G,NA()),NA())</f>
        <v>#N/A</v>
      </c>
      <c r="H166" s="61" t="e">
        <f>IF(ISNUMBER(Ec_BE_C),IF(ABS($B166-Ec_BE_C)&lt;=0.025,Ec_A_C,NA()),NA())</f>
        <v>#N/A</v>
      </c>
      <c r="I166" s="39">
        <f>IF(MOD(65,20)=0,TEXT($B166,"0"),"")</f>
        <v/>
      </c>
    </row>
    <row r="167" spans="2:9" ht="17" customHeight="1">
      <c r="B167" s="36">
        <v>3.3</v>
      </c>
      <c r="C167" s="61">
        <f>Ec_A_L+Ec_B_L*$B167</f>
        <v>1.55743970927056</v>
      </c>
      <c r="D167" s="61">
        <f>Ec_A_G</f>
        <v>1.0411380717848</v>
      </c>
      <c r="E167" s="61">
        <f>Ec_A_C</f>
        <v>1.22786480392051</v>
      </c>
      <c r="F167" s="61" t="e">
        <f>IF(ABS($B167-Ec_H2)&lt;=0.025,C167,NA())</f>
        <v>#N/A</v>
      </c>
      <c r="G167" s="61" t="e">
        <f>IF(ISNUMBER(Ec_BE_G),IF(ABS($B167-Ec_BE_G)&lt;=0.025,Ec_A_G,NA()),NA())</f>
        <v>#N/A</v>
      </c>
      <c r="H167" s="61" t="e">
        <f>IF(ISNUMBER(Ec_BE_C),IF(ABS($B167-Ec_BE_C)&lt;=0.025,Ec_A_C,NA()),NA())</f>
        <v>#N/A</v>
      </c>
      <c r="I167" s="39">
        <f>IF(MOD(66,20)=0,TEXT($B167,"0"),"")</f>
        <v/>
      </c>
    </row>
    <row r="168" spans="2:9" ht="17" customHeight="1">
      <c r="B168" s="36">
        <v>3.35</v>
      </c>
      <c r="C168" s="61">
        <f>Ec_A_L+Ec_B_L*$B168</f>
        <v>1.56143970927056</v>
      </c>
      <c r="D168" s="61">
        <f>Ec_A_G</f>
        <v>1.0411380717848</v>
      </c>
      <c r="E168" s="61">
        <f>Ec_A_C</f>
        <v>1.22786480392051</v>
      </c>
      <c r="F168" s="61" t="e">
        <f>IF(ABS($B168-Ec_H2)&lt;=0.025,C168,NA())</f>
        <v>#N/A</v>
      </c>
      <c r="G168" s="61" t="e">
        <f>IF(ISNUMBER(Ec_BE_G),IF(ABS($B168-Ec_BE_G)&lt;=0.025,Ec_A_G,NA()),NA())</f>
        <v>#N/A</v>
      </c>
      <c r="H168" s="61" t="e">
        <f>IF(ISNUMBER(Ec_BE_C),IF(ABS($B168-Ec_BE_C)&lt;=0.025,Ec_A_C,NA()),NA())</f>
        <v>#N/A</v>
      </c>
      <c r="I168" s="39">
        <f>IF(MOD(67,20)=0,TEXT($B168,"0"),"")</f>
        <v/>
      </c>
    </row>
    <row r="169" spans="2:9" ht="17" customHeight="1">
      <c r="B169" s="36">
        <v>3.4</v>
      </c>
      <c r="C169" s="61">
        <f>Ec_A_L+Ec_B_L*$B169</f>
        <v>1.56543970927056</v>
      </c>
      <c r="D169" s="61">
        <f>Ec_A_G</f>
        <v>1.0411380717848</v>
      </c>
      <c r="E169" s="61">
        <f>Ec_A_C</f>
        <v>1.22786480392051</v>
      </c>
      <c r="F169" s="61" t="e">
        <f>IF(ABS($B169-Ec_H2)&lt;=0.025,C169,NA())</f>
        <v>#N/A</v>
      </c>
      <c r="G169" s="61" t="e">
        <f>IF(ISNUMBER(Ec_BE_G),IF(ABS($B169-Ec_BE_G)&lt;=0.025,Ec_A_G,NA()),NA())</f>
        <v>#N/A</v>
      </c>
      <c r="H169" s="61" t="e">
        <f>IF(ISNUMBER(Ec_BE_C),IF(ABS($B169-Ec_BE_C)&lt;=0.025,Ec_A_C,NA()),NA())</f>
        <v>#N/A</v>
      </c>
      <c r="I169" s="39">
        <f>IF(MOD(68,20)=0,TEXT($B169,"0"),"")</f>
        <v/>
      </c>
    </row>
    <row r="170" spans="2:9" ht="17" customHeight="1">
      <c r="B170" s="36">
        <v>3.45</v>
      </c>
      <c r="C170" s="61">
        <f>Ec_A_L+Ec_B_L*$B170</f>
        <v>1.56943970927056</v>
      </c>
      <c r="D170" s="61">
        <f>Ec_A_G</f>
        <v>1.0411380717848</v>
      </c>
      <c r="E170" s="61">
        <f>Ec_A_C</f>
        <v>1.22786480392051</v>
      </c>
      <c r="F170" s="61" t="e">
        <f>IF(ABS($B170-Ec_H2)&lt;=0.025,C170,NA())</f>
        <v>#N/A</v>
      </c>
      <c r="G170" s="61" t="e">
        <f>IF(ISNUMBER(Ec_BE_G),IF(ABS($B170-Ec_BE_G)&lt;=0.025,Ec_A_G,NA()),NA())</f>
        <v>#N/A</v>
      </c>
      <c r="H170" s="61" t="e">
        <f>IF(ISNUMBER(Ec_BE_C),IF(ABS($B170-Ec_BE_C)&lt;=0.025,Ec_A_C,NA()),NA())</f>
        <v>#N/A</v>
      </c>
      <c r="I170" s="39">
        <f>IF(MOD(69,20)=0,TEXT($B170,"0"),"")</f>
        <v/>
      </c>
    </row>
    <row r="171" spans="2:9" ht="17" customHeight="1">
      <c r="B171" s="36">
        <v>3.5</v>
      </c>
      <c r="C171" s="61">
        <f>Ec_A_L+Ec_B_L*$B171</f>
        <v>1.57343970927056</v>
      </c>
      <c r="D171" s="61">
        <f>Ec_A_G</f>
        <v>1.0411380717848</v>
      </c>
      <c r="E171" s="61">
        <f>Ec_A_C</f>
        <v>1.22786480392051</v>
      </c>
      <c r="F171" s="61" t="e">
        <f>IF(ABS($B171-Ec_H2)&lt;=0.025,C171,NA())</f>
        <v>#N/A</v>
      </c>
      <c r="G171" s="61" t="e">
        <f>IF(ISNUMBER(Ec_BE_G),IF(ABS($B171-Ec_BE_G)&lt;=0.025,Ec_A_G,NA()),NA())</f>
        <v>#N/A</v>
      </c>
      <c r="H171" s="61" t="e">
        <f>IF(ISNUMBER(Ec_BE_C),IF(ABS($B171-Ec_BE_C)&lt;=0.025,Ec_A_C,NA()),NA())</f>
        <v>#N/A</v>
      </c>
      <c r="I171" s="39">
        <f>IF(MOD(70,20)=0,TEXT($B171,"0"),"")</f>
        <v/>
      </c>
    </row>
    <row r="172" spans="2:9" ht="17" customHeight="1">
      <c r="B172" s="36">
        <v>3.55</v>
      </c>
      <c r="C172" s="61">
        <f>Ec_A_L+Ec_B_L*$B172</f>
        <v>1.57743970927056</v>
      </c>
      <c r="D172" s="61">
        <f>Ec_A_G</f>
        <v>1.0411380717848</v>
      </c>
      <c r="E172" s="61">
        <f>Ec_A_C</f>
        <v>1.22786480392051</v>
      </c>
      <c r="F172" s="61" t="e">
        <f>IF(ABS($B172-Ec_H2)&lt;=0.025,C172,NA())</f>
        <v>#N/A</v>
      </c>
      <c r="G172" s="61" t="e">
        <f>IF(ISNUMBER(Ec_BE_G),IF(ABS($B172-Ec_BE_G)&lt;=0.025,Ec_A_G,NA()),NA())</f>
        <v>#N/A</v>
      </c>
      <c r="H172" s="61" t="e">
        <f>IF(ISNUMBER(Ec_BE_C),IF(ABS($B172-Ec_BE_C)&lt;=0.025,Ec_A_C,NA()),NA())</f>
        <v>#N/A</v>
      </c>
      <c r="I172" s="39">
        <f>IF(MOD(71,20)=0,TEXT($B172,"0"),"")</f>
        <v/>
      </c>
    </row>
    <row r="173" spans="2:9" ht="17" customHeight="1">
      <c r="B173" s="36">
        <v>3.6</v>
      </c>
      <c r="C173" s="61">
        <f>Ec_A_L+Ec_B_L*$B173</f>
        <v>1.58143970927056</v>
      </c>
      <c r="D173" s="61">
        <f>Ec_A_G</f>
        <v>1.0411380717848</v>
      </c>
      <c r="E173" s="61">
        <f>Ec_A_C</f>
        <v>1.22786480392051</v>
      </c>
      <c r="F173" s="61" t="e">
        <f>IF(ABS($B173-Ec_H2)&lt;=0.025,C173,NA())</f>
        <v>#N/A</v>
      </c>
      <c r="G173" s="61" t="e">
        <f>IF(ISNUMBER(Ec_BE_G),IF(ABS($B173-Ec_BE_G)&lt;=0.025,Ec_A_G,NA()),NA())</f>
        <v>#N/A</v>
      </c>
      <c r="H173" s="61" t="e">
        <f>IF(ISNUMBER(Ec_BE_C),IF(ABS($B173-Ec_BE_C)&lt;=0.025,Ec_A_C,NA()),NA())</f>
        <v>#N/A</v>
      </c>
      <c r="I173" s="39">
        <f>IF(MOD(72,20)=0,TEXT($B173,"0"),"")</f>
        <v/>
      </c>
    </row>
    <row r="174" spans="2:9" ht="17" customHeight="1">
      <c r="B174" s="36">
        <v>3.65</v>
      </c>
      <c r="C174" s="61">
        <f>Ec_A_L+Ec_B_L*$B174</f>
        <v>1.58543970927056</v>
      </c>
      <c r="D174" s="61">
        <f>Ec_A_G</f>
        <v>1.0411380717848</v>
      </c>
      <c r="E174" s="61">
        <f>Ec_A_C</f>
        <v>1.22786480392051</v>
      </c>
      <c r="F174" s="61" t="e">
        <f>IF(ABS($B174-Ec_H2)&lt;=0.025,C174,NA())</f>
        <v>#N/A</v>
      </c>
      <c r="G174" s="61" t="e">
        <f>IF(ISNUMBER(Ec_BE_G),IF(ABS($B174-Ec_BE_G)&lt;=0.025,Ec_A_G,NA()),NA())</f>
        <v>#N/A</v>
      </c>
      <c r="H174" s="61" t="e">
        <f>IF(ISNUMBER(Ec_BE_C),IF(ABS($B174-Ec_BE_C)&lt;=0.025,Ec_A_C,NA()),NA())</f>
        <v>#N/A</v>
      </c>
      <c r="I174" s="39">
        <f>IF(MOD(73,20)=0,TEXT($B174,"0"),"")</f>
        <v/>
      </c>
    </row>
    <row r="175" spans="2:9" ht="17" customHeight="1">
      <c r="B175" s="36">
        <v>3.7</v>
      </c>
      <c r="C175" s="61">
        <f>Ec_A_L+Ec_B_L*$B175</f>
        <v>1.58943970927056</v>
      </c>
      <c r="D175" s="61">
        <f>Ec_A_G</f>
        <v>1.0411380717848</v>
      </c>
      <c r="E175" s="61">
        <f>Ec_A_C</f>
        <v>1.22786480392051</v>
      </c>
      <c r="F175" s="61" t="e">
        <f>IF(ABS($B175-Ec_H2)&lt;=0.025,C175,NA())</f>
        <v>#N/A</v>
      </c>
      <c r="G175" s="61" t="e">
        <f>IF(ISNUMBER(Ec_BE_G),IF(ABS($B175-Ec_BE_G)&lt;=0.025,Ec_A_G,NA()),NA())</f>
        <v>#N/A</v>
      </c>
      <c r="H175" s="61" t="e">
        <f>IF(ISNUMBER(Ec_BE_C),IF(ABS($B175-Ec_BE_C)&lt;=0.025,Ec_A_C,NA()),NA())</f>
        <v>#N/A</v>
      </c>
      <c r="I175" s="39">
        <f>IF(MOD(74,20)=0,TEXT($B175,"0"),"")</f>
        <v/>
      </c>
    </row>
    <row r="176" spans="2:9" ht="17" customHeight="1">
      <c r="B176" s="36">
        <v>3.75</v>
      </c>
      <c r="C176" s="61">
        <f>Ec_A_L+Ec_B_L*$B176</f>
        <v>1.59343970927056</v>
      </c>
      <c r="D176" s="61">
        <f>Ec_A_G</f>
        <v>1.0411380717848</v>
      </c>
      <c r="E176" s="61">
        <f>Ec_A_C</f>
        <v>1.22786480392051</v>
      </c>
      <c r="F176" s="61" t="e">
        <f>IF(ABS($B176-Ec_H2)&lt;=0.025,C176,NA())</f>
        <v>#N/A</v>
      </c>
      <c r="G176" s="61" t="e">
        <f>IF(ISNUMBER(Ec_BE_G),IF(ABS($B176-Ec_BE_G)&lt;=0.025,Ec_A_G,NA()),NA())</f>
        <v>#N/A</v>
      </c>
      <c r="H176" s="61" t="e">
        <f>IF(ISNUMBER(Ec_BE_C),IF(ABS($B176-Ec_BE_C)&lt;=0.025,Ec_A_C,NA()),NA())</f>
        <v>#N/A</v>
      </c>
      <c r="I176" s="39">
        <f>IF(MOD(75,20)=0,TEXT($B176,"0"),"")</f>
        <v/>
      </c>
    </row>
    <row r="177" spans="2:9" ht="17" customHeight="1">
      <c r="B177" s="36">
        <v>3.8</v>
      </c>
      <c r="C177" s="61">
        <f>Ec_A_L+Ec_B_L*$B177</f>
        <v>1.59743970927056</v>
      </c>
      <c r="D177" s="61">
        <f>Ec_A_G</f>
        <v>1.0411380717848</v>
      </c>
      <c r="E177" s="61">
        <f>Ec_A_C</f>
        <v>1.22786480392051</v>
      </c>
      <c r="F177" s="61" t="e">
        <f>IF(ABS($B177-Ec_H2)&lt;=0.025,C177,NA())</f>
        <v>#N/A</v>
      </c>
      <c r="G177" s="61" t="e">
        <f>IF(ISNUMBER(Ec_BE_G),IF(ABS($B177-Ec_BE_G)&lt;=0.025,Ec_A_G,NA()),NA())</f>
        <v>#N/A</v>
      </c>
      <c r="H177" s="61" t="e">
        <f>IF(ISNUMBER(Ec_BE_C),IF(ABS($B177-Ec_BE_C)&lt;=0.025,Ec_A_C,NA()),NA())</f>
        <v>#N/A</v>
      </c>
      <c r="I177" s="39">
        <f>IF(MOD(76,20)=0,TEXT($B177,"0"),"")</f>
        <v/>
      </c>
    </row>
    <row r="178" spans="2:9" ht="17" customHeight="1">
      <c r="B178" s="36">
        <v>3.85</v>
      </c>
      <c r="C178" s="61">
        <f>Ec_A_L+Ec_B_L*$B178</f>
        <v>1.60143970927056</v>
      </c>
      <c r="D178" s="61">
        <f>Ec_A_G</f>
        <v>1.0411380717848</v>
      </c>
      <c r="E178" s="61">
        <f>Ec_A_C</f>
        <v>1.22786480392051</v>
      </c>
      <c r="F178" s="61" t="e">
        <f>IF(ABS($B178-Ec_H2)&lt;=0.025,C178,NA())</f>
        <v>#N/A</v>
      </c>
      <c r="G178" s="61" t="e">
        <f>IF(ISNUMBER(Ec_BE_G),IF(ABS($B178-Ec_BE_G)&lt;=0.025,Ec_A_G,NA()),NA())</f>
        <v>#N/A</v>
      </c>
      <c r="H178" s="61" t="e">
        <f>IF(ISNUMBER(Ec_BE_C),IF(ABS($B178-Ec_BE_C)&lt;=0.025,Ec_A_C,NA()),NA())</f>
        <v>#N/A</v>
      </c>
      <c r="I178" s="39">
        <f>IF(MOD(77,20)=0,TEXT($B178,"0"),"")</f>
        <v/>
      </c>
    </row>
    <row r="179" spans="2:9" ht="17" customHeight="1">
      <c r="B179" s="36">
        <v>3.9</v>
      </c>
      <c r="C179" s="61">
        <f>Ec_A_L+Ec_B_L*$B179</f>
        <v>1.60543970927056</v>
      </c>
      <c r="D179" s="61">
        <f>Ec_A_G</f>
        <v>1.0411380717848</v>
      </c>
      <c r="E179" s="61">
        <f>Ec_A_C</f>
        <v>1.22786480392051</v>
      </c>
      <c r="F179" s="61" t="e">
        <f>IF(ABS($B179-Ec_H2)&lt;=0.025,C179,NA())</f>
        <v>#N/A</v>
      </c>
      <c r="G179" s="61" t="e">
        <f>IF(ISNUMBER(Ec_BE_G),IF(ABS($B179-Ec_BE_G)&lt;=0.025,Ec_A_G,NA()),NA())</f>
        <v>#N/A</v>
      </c>
      <c r="H179" s="61" t="e">
        <f>IF(ISNUMBER(Ec_BE_C),IF(ABS($B179-Ec_BE_C)&lt;=0.025,Ec_A_C,NA()),NA())</f>
        <v>#N/A</v>
      </c>
      <c r="I179" s="39">
        <f>IF(MOD(78,20)=0,TEXT($B179,"0"),"")</f>
        <v/>
      </c>
    </row>
    <row r="180" spans="2:9" ht="17" customHeight="1">
      <c r="B180" s="36">
        <v>3.95</v>
      </c>
      <c r="C180" s="61">
        <f>Ec_A_L+Ec_B_L*$B180</f>
        <v>1.60943970927056</v>
      </c>
      <c r="D180" s="61">
        <f>Ec_A_G</f>
        <v>1.0411380717848</v>
      </c>
      <c r="E180" s="61">
        <f>Ec_A_C</f>
        <v>1.22786480392051</v>
      </c>
      <c r="F180" s="61" t="e">
        <f>IF(ABS($B180-Ec_H2)&lt;=0.025,C180,NA())</f>
        <v>#N/A</v>
      </c>
      <c r="G180" s="61" t="e">
        <f>IF(ISNUMBER(Ec_BE_G),IF(ABS($B180-Ec_BE_G)&lt;=0.025,Ec_A_G,NA()),NA())</f>
        <v>#N/A</v>
      </c>
      <c r="H180" s="61" t="e">
        <f>IF(ISNUMBER(Ec_BE_C),IF(ABS($B180-Ec_BE_C)&lt;=0.025,Ec_A_C,NA()),NA())</f>
        <v>#N/A</v>
      </c>
      <c r="I180" s="39">
        <f>IF(MOD(79,20)=0,TEXT($B180,"0"),"")</f>
        <v/>
      </c>
    </row>
    <row r="181" spans="2:9" ht="17" customHeight="1">
      <c r="B181" s="36">
        <v>4</v>
      </c>
      <c r="C181" s="61">
        <f>Ec_A_L+Ec_B_L*$B181</f>
        <v>1.61343970927056</v>
      </c>
      <c r="D181" s="61">
        <f>Ec_A_G</f>
        <v>1.0411380717848</v>
      </c>
      <c r="E181" s="61">
        <f>Ec_A_C</f>
        <v>1.22786480392051</v>
      </c>
      <c r="F181" s="61">
        <f>IF(ABS($B181-Ec_H2)&lt;=0.025,C181,NA())</f>
        <v>1.61343970927056</v>
      </c>
      <c r="G181" s="61" t="e">
        <f>IF(ISNUMBER(Ec_BE_G),IF(ABS($B181-Ec_BE_G)&lt;=0.025,Ec_A_G,NA()),NA())</f>
        <v>#N/A</v>
      </c>
      <c r="H181" s="61" t="e">
        <f>IF(ISNUMBER(Ec_BE_C),IF(ABS($B181-Ec_BE_C)&lt;=0.025,Ec_A_C,NA()),NA())</f>
        <v>#N/A</v>
      </c>
      <c r="I181" s="39" t="str">
        <f>IF(MOD(80,20)=0,TEXT($B181,"0"),"")</f>
        <v>4</v>
      </c>
    </row>
    <row r="182" spans="2:9" ht="17" customHeight="1">
      <c r="B182" s="36">
        <v>4.05</v>
      </c>
      <c r="C182" s="61">
        <f>Ec_A_L+Ec_B_L*$B182</f>
        <v>1.61743970927056</v>
      </c>
      <c r="D182" s="61">
        <f>Ec_A_G</f>
        <v>1.0411380717848</v>
      </c>
      <c r="E182" s="61">
        <f>Ec_A_C</f>
        <v>1.22786480392051</v>
      </c>
      <c r="F182" s="61" t="e">
        <f>IF(ABS($B182-Ec_H2)&lt;=0.025,C182,NA())</f>
        <v>#N/A</v>
      </c>
      <c r="G182" s="61" t="e">
        <f>IF(ISNUMBER(Ec_BE_G),IF(ABS($B182-Ec_BE_G)&lt;=0.025,Ec_A_G,NA()),NA())</f>
        <v>#N/A</v>
      </c>
      <c r="H182" s="61" t="e">
        <f>IF(ISNUMBER(Ec_BE_C),IF(ABS($B182-Ec_BE_C)&lt;=0.025,Ec_A_C,NA()),NA())</f>
        <v>#N/A</v>
      </c>
      <c r="I182" s="39">
        <f>IF(MOD(81,20)=0,TEXT($B182,"0"),"")</f>
        <v/>
      </c>
    </row>
    <row r="183" spans="2:9" ht="17" customHeight="1">
      <c r="B183" s="36">
        <v>4.1</v>
      </c>
      <c r="C183" s="61">
        <f>Ec_A_L+Ec_B_L*$B183</f>
        <v>1.62143970927056</v>
      </c>
      <c r="D183" s="61">
        <f>Ec_A_G</f>
        <v>1.0411380717848</v>
      </c>
      <c r="E183" s="61">
        <f>Ec_A_C</f>
        <v>1.22786480392051</v>
      </c>
      <c r="F183" s="61" t="e">
        <f>IF(ABS($B183-Ec_H2)&lt;=0.025,C183,NA())</f>
        <v>#N/A</v>
      </c>
      <c r="G183" s="61" t="e">
        <f>IF(ISNUMBER(Ec_BE_G),IF(ABS($B183-Ec_BE_G)&lt;=0.025,Ec_A_G,NA()),NA())</f>
        <v>#N/A</v>
      </c>
      <c r="H183" s="61" t="e">
        <f>IF(ISNUMBER(Ec_BE_C),IF(ABS($B183-Ec_BE_C)&lt;=0.025,Ec_A_C,NA()),NA())</f>
        <v>#N/A</v>
      </c>
      <c r="I183" s="39">
        <f>IF(MOD(82,20)=0,TEXT($B183,"0"),"")</f>
        <v/>
      </c>
    </row>
    <row r="184" spans="2:9" ht="17" customHeight="1">
      <c r="B184" s="36">
        <v>4.15</v>
      </c>
      <c r="C184" s="61">
        <f>Ec_A_L+Ec_B_L*$B184</f>
        <v>1.62543970927056</v>
      </c>
      <c r="D184" s="61">
        <f>Ec_A_G</f>
        <v>1.0411380717848</v>
      </c>
      <c r="E184" s="61">
        <f>Ec_A_C</f>
        <v>1.22786480392051</v>
      </c>
      <c r="F184" s="61" t="e">
        <f>IF(ABS($B184-Ec_H2)&lt;=0.025,C184,NA())</f>
        <v>#N/A</v>
      </c>
      <c r="G184" s="61" t="e">
        <f>IF(ISNUMBER(Ec_BE_G),IF(ABS($B184-Ec_BE_G)&lt;=0.025,Ec_A_G,NA()),NA())</f>
        <v>#N/A</v>
      </c>
      <c r="H184" s="61" t="e">
        <f>IF(ISNUMBER(Ec_BE_C),IF(ABS($B184-Ec_BE_C)&lt;=0.025,Ec_A_C,NA()),NA())</f>
        <v>#N/A</v>
      </c>
      <c r="I184" s="39">
        <f>IF(MOD(83,20)=0,TEXT($B184,"0"),"")</f>
        <v/>
      </c>
    </row>
    <row r="185" spans="2:9" ht="17" customHeight="1">
      <c r="B185" s="36">
        <v>4.2</v>
      </c>
      <c r="C185" s="61">
        <f>Ec_A_L+Ec_B_L*$B185</f>
        <v>1.62943970927056</v>
      </c>
      <c r="D185" s="61">
        <f>Ec_A_G</f>
        <v>1.0411380717848</v>
      </c>
      <c r="E185" s="61">
        <f>Ec_A_C</f>
        <v>1.22786480392051</v>
      </c>
      <c r="F185" s="61" t="e">
        <f>IF(ABS($B185-Ec_H2)&lt;=0.025,C185,NA())</f>
        <v>#N/A</v>
      </c>
      <c r="G185" s="61" t="e">
        <f>IF(ISNUMBER(Ec_BE_G),IF(ABS($B185-Ec_BE_G)&lt;=0.025,Ec_A_G,NA()),NA())</f>
        <v>#N/A</v>
      </c>
      <c r="H185" s="61" t="e">
        <f>IF(ISNUMBER(Ec_BE_C),IF(ABS($B185-Ec_BE_C)&lt;=0.025,Ec_A_C,NA()),NA())</f>
        <v>#N/A</v>
      </c>
      <c r="I185" s="39">
        <f>IF(MOD(84,20)=0,TEXT($B185,"0"),"")</f>
        <v/>
      </c>
    </row>
    <row r="186" spans="2:9" ht="17" customHeight="1">
      <c r="B186" s="36">
        <v>4.25</v>
      </c>
      <c r="C186" s="61">
        <f>Ec_A_L+Ec_B_L*$B186</f>
        <v>1.63343970927056</v>
      </c>
      <c r="D186" s="61">
        <f>Ec_A_G</f>
        <v>1.0411380717848</v>
      </c>
      <c r="E186" s="61">
        <f>Ec_A_C</f>
        <v>1.22786480392051</v>
      </c>
      <c r="F186" s="61" t="e">
        <f>IF(ABS($B186-Ec_H2)&lt;=0.025,C186,NA())</f>
        <v>#N/A</v>
      </c>
      <c r="G186" s="61" t="e">
        <f>IF(ISNUMBER(Ec_BE_G),IF(ABS($B186-Ec_BE_G)&lt;=0.025,Ec_A_G,NA()),NA())</f>
        <v>#N/A</v>
      </c>
      <c r="H186" s="61" t="e">
        <f>IF(ISNUMBER(Ec_BE_C),IF(ABS($B186-Ec_BE_C)&lt;=0.025,Ec_A_C,NA()),NA())</f>
        <v>#N/A</v>
      </c>
      <c r="I186" s="39">
        <f>IF(MOD(85,20)=0,TEXT($B186,"0"),"")</f>
        <v/>
      </c>
    </row>
    <row r="187" spans="2:9" ht="17" customHeight="1">
      <c r="B187" s="36">
        <v>4.3</v>
      </c>
      <c r="C187" s="61">
        <f>Ec_A_L+Ec_B_L*$B187</f>
        <v>1.63743970927056</v>
      </c>
      <c r="D187" s="61">
        <f>Ec_A_G</f>
        <v>1.0411380717848</v>
      </c>
      <c r="E187" s="61">
        <f>Ec_A_C</f>
        <v>1.22786480392051</v>
      </c>
      <c r="F187" s="61" t="e">
        <f>IF(ABS($B187-Ec_H2)&lt;=0.025,C187,NA())</f>
        <v>#N/A</v>
      </c>
      <c r="G187" s="61" t="e">
        <f>IF(ISNUMBER(Ec_BE_G),IF(ABS($B187-Ec_BE_G)&lt;=0.025,Ec_A_G,NA()),NA())</f>
        <v>#N/A</v>
      </c>
      <c r="H187" s="61" t="e">
        <f>IF(ISNUMBER(Ec_BE_C),IF(ABS($B187-Ec_BE_C)&lt;=0.025,Ec_A_C,NA()),NA())</f>
        <v>#N/A</v>
      </c>
      <c r="I187" s="39">
        <f>IF(MOD(86,20)=0,TEXT($B187,"0"),"")</f>
        <v/>
      </c>
    </row>
    <row r="188" spans="2:9" ht="17" customHeight="1">
      <c r="B188" s="36">
        <v>4.35</v>
      </c>
      <c r="C188" s="61">
        <f>Ec_A_L+Ec_B_L*$B188</f>
        <v>1.64143970927056</v>
      </c>
      <c r="D188" s="61">
        <f>Ec_A_G</f>
        <v>1.0411380717848</v>
      </c>
      <c r="E188" s="61">
        <f>Ec_A_C</f>
        <v>1.22786480392051</v>
      </c>
      <c r="F188" s="61" t="e">
        <f>IF(ABS($B188-Ec_H2)&lt;=0.025,C188,NA())</f>
        <v>#N/A</v>
      </c>
      <c r="G188" s="61" t="e">
        <f>IF(ISNUMBER(Ec_BE_G),IF(ABS($B188-Ec_BE_G)&lt;=0.025,Ec_A_G,NA()),NA())</f>
        <v>#N/A</v>
      </c>
      <c r="H188" s="61" t="e">
        <f>IF(ISNUMBER(Ec_BE_C),IF(ABS($B188-Ec_BE_C)&lt;=0.025,Ec_A_C,NA()),NA())</f>
        <v>#N/A</v>
      </c>
      <c r="I188" s="39">
        <f>IF(MOD(87,20)=0,TEXT($B188,"0"),"")</f>
        <v/>
      </c>
    </row>
    <row r="189" spans="2:9" ht="17" customHeight="1">
      <c r="B189" s="36">
        <v>4.4</v>
      </c>
      <c r="C189" s="61">
        <f>Ec_A_L+Ec_B_L*$B189</f>
        <v>1.64543970927056</v>
      </c>
      <c r="D189" s="61">
        <f>Ec_A_G</f>
        <v>1.0411380717848</v>
      </c>
      <c r="E189" s="61">
        <f>Ec_A_C</f>
        <v>1.22786480392051</v>
      </c>
      <c r="F189" s="61" t="e">
        <f>IF(ABS($B189-Ec_H2)&lt;=0.025,C189,NA())</f>
        <v>#N/A</v>
      </c>
      <c r="G189" s="61" t="e">
        <f>IF(ISNUMBER(Ec_BE_G),IF(ABS($B189-Ec_BE_G)&lt;=0.025,Ec_A_G,NA()),NA())</f>
        <v>#N/A</v>
      </c>
      <c r="H189" s="61" t="e">
        <f>IF(ISNUMBER(Ec_BE_C),IF(ABS($B189-Ec_BE_C)&lt;=0.025,Ec_A_C,NA()),NA())</f>
        <v>#N/A</v>
      </c>
      <c r="I189" s="39">
        <f>IF(MOD(88,20)=0,TEXT($B189,"0"),"")</f>
        <v/>
      </c>
    </row>
    <row r="190" spans="2:9" ht="17" customHeight="1">
      <c r="B190" s="36">
        <v>4.45</v>
      </c>
      <c r="C190" s="61">
        <f>Ec_A_L+Ec_B_L*$B190</f>
        <v>1.64943970927056</v>
      </c>
      <c r="D190" s="61">
        <f>Ec_A_G</f>
        <v>1.0411380717848</v>
      </c>
      <c r="E190" s="61">
        <f>Ec_A_C</f>
        <v>1.22786480392051</v>
      </c>
      <c r="F190" s="61" t="e">
        <f>IF(ABS($B190-Ec_H2)&lt;=0.025,C190,NA())</f>
        <v>#N/A</v>
      </c>
      <c r="G190" s="61" t="e">
        <f>IF(ISNUMBER(Ec_BE_G),IF(ABS($B190-Ec_BE_G)&lt;=0.025,Ec_A_G,NA()),NA())</f>
        <v>#N/A</v>
      </c>
      <c r="H190" s="61" t="e">
        <f>IF(ISNUMBER(Ec_BE_C),IF(ABS($B190-Ec_BE_C)&lt;=0.025,Ec_A_C,NA()),NA())</f>
        <v>#N/A</v>
      </c>
      <c r="I190" s="39">
        <f>IF(MOD(89,20)=0,TEXT($B190,"0"),"")</f>
        <v/>
      </c>
    </row>
    <row r="191" spans="2:9" ht="17" customHeight="1">
      <c r="B191" s="36">
        <v>4.5</v>
      </c>
      <c r="C191" s="61">
        <f>Ec_A_L+Ec_B_L*$B191</f>
        <v>1.65343970927056</v>
      </c>
      <c r="D191" s="61">
        <f>Ec_A_G</f>
        <v>1.0411380717848</v>
      </c>
      <c r="E191" s="61">
        <f>Ec_A_C</f>
        <v>1.22786480392051</v>
      </c>
      <c r="F191" s="61" t="e">
        <f>IF(ABS($B191-Ec_H2)&lt;=0.025,C191,NA())</f>
        <v>#N/A</v>
      </c>
      <c r="G191" s="61" t="e">
        <f>IF(ISNUMBER(Ec_BE_G),IF(ABS($B191-Ec_BE_G)&lt;=0.025,Ec_A_G,NA()),NA())</f>
        <v>#N/A</v>
      </c>
      <c r="H191" s="61" t="e">
        <f>IF(ISNUMBER(Ec_BE_C),IF(ABS($B191-Ec_BE_C)&lt;=0.025,Ec_A_C,NA()),NA())</f>
        <v>#N/A</v>
      </c>
      <c r="I191" s="39">
        <f>IF(MOD(90,20)=0,TEXT($B191,"0"),"")</f>
        <v/>
      </c>
    </row>
    <row r="192" spans="2:9" ht="17" customHeight="1">
      <c r="B192" s="36">
        <v>4.55</v>
      </c>
      <c r="C192" s="61">
        <f>Ec_A_L+Ec_B_L*$B192</f>
        <v>1.65743970927056</v>
      </c>
      <c r="D192" s="61">
        <f>Ec_A_G</f>
        <v>1.0411380717848</v>
      </c>
      <c r="E192" s="61">
        <f>Ec_A_C</f>
        <v>1.22786480392051</v>
      </c>
      <c r="F192" s="61" t="e">
        <f>IF(ABS($B192-Ec_H2)&lt;=0.025,C192,NA())</f>
        <v>#N/A</v>
      </c>
      <c r="G192" s="61" t="e">
        <f>IF(ISNUMBER(Ec_BE_G),IF(ABS($B192-Ec_BE_G)&lt;=0.025,Ec_A_G,NA()),NA())</f>
        <v>#N/A</v>
      </c>
      <c r="H192" s="61" t="e">
        <f>IF(ISNUMBER(Ec_BE_C),IF(ABS($B192-Ec_BE_C)&lt;=0.025,Ec_A_C,NA()),NA())</f>
        <v>#N/A</v>
      </c>
      <c r="I192" s="39">
        <f>IF(MOD(91,20)=0,TEXT($B192,"0"),"")</f>
        <v/>
      </c>
    </row>
    <row r="193" spans="2:9" ht="17" customHeight="1">
      <c r="B193" s="36">
        <v>4.6</v>
      </c>
      <c r="C193" s="61">
        <f>Ec_A_L+Ec_B_L*$B193</f>
        <v>1.66143970927056</v>
      </c>
      <c r="D193" s="61">
        <f>Ec_A_G</f>
        <v>1.0411380717848</v>
      </c>
      <c r="E193" s="61">
        <f>Ec_A_C</f>
        <v>1.22786480392051</v>
      </c>
      <c r="F193" s="61" t="e">
        <f>IF(ABS($B193-Ec_H2)&lt;=0.025,C193,NA())</f>
        <v>#N/A</v>
      </c>
      <c r="G193" s="61" t="e">
        <f>IF(ISNUMBER(Ec_BE_G),IF(ABS($B193-Ec_BE_G)&lt;=0.025,Ec_A_G,NA()),NA())</f>
        <v>#N/A</v>
      </c>
      <c r="H193" s="61" t="e">
        <f>IF(ISNUMBER(Ec_BE_C),IF(ABS($B193-Ec_BE_C)&lt;=0.025,Ec_A_C,NA()),NA())</f>
        <v>#N/A</v>
      </c>
      <c r="I193" s="39">
        <f>IF(MOD(92,20)=0,TEXT($B193,"0"),"")</f>
        <v/>
      </c>
    </row>
    <row r="194" spans="2:9" ht="17" customHeight="1">
      <c r="B194" s="36">
        <v>4.65</v>
      </c>
      <c r="C194" s="61">
        <f>Ec_A_L+Ec_B_L*$B194</f>
        <v>1.66543970927056</v>
      </c>
      <c r="D194" s="61">
        <f>Ec_A_G</f>
        <v>1.0411380717848</v>
      </c>
      <c r="E194" s="61">
        <f>Ec_A_C</f>
        <v>1.22786480392051</v>
      </c>
      <c r="F194" s="61" t="e">
        <f>IF(ABS($B194-Ec_H2)&lt;=0.025,C194,NA())</f>
        <v>#N/A</v>
      </c>
      <c r="G194" s="61" t="e">
        <f>IF(ISNUMBER(Ec_BE_G),IF(ABS($B194-Ec_BE_G)&lt;=0.025,Ec_A_G,NA()),NA())</f>
        <v>#N/A</v>
      </c>
      <c r="H194" s="61" t="e">
        <f>IF(ISNUMBER(Ec_BE_C),IF(ABS($B194-Ec_BE_C)&lt;=0.025,Ec_A_C,NA()),NA())</f>
        <v>#N/A</v>
      </c>
      <c r="I194" s="39">
        <f>IF(MOD(93,20)=0,TEXT($B194,"0"),"")</f>
        <v/>
      </c>
    </row>
    <row r="195" spans="2:9" ht="17" customHeight="1">
      <c r="B195" s="36">
        <v>4.7</v>
      </c>
      <c r="C195" s="61">
        <f>Ec_A_L+Ec_B_L*$B195</f>
        <v>1.66943970927056</v>
      </c>
      <c r="D195" s="61">
        <f>Ec_A_G</f>
        <v>1.0411380717848</v>
      </c>
      <c r="E195" s="61">
        <f>Ec_A_C</f>
        <v>1.22786480392051</v>
      </c>
      <c r="F195" s="61" t="e">
        <f>IF(ABS($B195-Ec_H2)&lt;=0.025,C195,NA())</f>
        <v>#N/A</v>
      </c>
      <c r="G195" s="61" t="e">
        <f>IF(ISNUMBER(Ec_BE_G),IF(ABS($B195-Ec_BE_G)&lt;=0.025,Ec_A_G,NA()),NA())</f>
        <v>#N/A</v>
      </c>
      <c r="H195" s="61" t="e">
        <f>IF(ISNUMBER(Ec_BE_C),IF(ABS($B195-Ec_BE_C)&lt;=0.025,Ec_A_C,NA()),NA())</f>
        <v>#N/A</v>
      </c>
      <c r="I195" s="39">
        <f>IF(MOD(94,20)=0,TEXT($B195,"0"),"")</f>
        <v/>
      </c>
    </row>
    <row r="196" spans="2:9" ht="17" customHeight="1">
      <c r="B196" s="36">
        <v>4.75</v>
      </c>
      <c r="C196" s="61">
        <f>Ec_A_L+Ec_B_L*$B196</f>
        <v>1.67343970927056</v>
      </c>
      <c r="D196" s="61">
        <f>Ec_A_G</f>
        <v>1.0411380717848</v>
      </c>
      <c r="E196" s="61">
        <f>Ec_A_C</f>
        <v>1.22786480392051</v>
      </c>
      <c r="F196" s="61" t="e">
        <f>IF(ABS($B196-Ec_H2)&lt;=0.025,C196,NA())</f>
        <v>#N/A</v>
      </c>
      <c r="G196" s="61" t="e">
        <f>IF(ISNUMBER(Ec_BE_G),IF(ABS($B196-Ec_BE_G)&lt;=0.025,Ec_A_G,NA()),NA())</f>
        <v>#N/A</v>
      </c>
      <c r="H196" s="61" t="e">
        <f>IF(ISNUMBER(Ec_BE_C),IF(ABS($B196-Ec_BE_C)&lt;=0.025,Ec_A_C,NA()),NA())</f>
        <v>#N/A</v>
      </c>
      <c r="I196" s="39">
        <f>IF(MOD(95,20)=0,TEXT($B196,"0"),"")</f>
        <v/>
      </c>
    </row>
    <row r="197" spans="2:9" ht="17" customHeight="1">
      <c r="B197" s="36">
        <v>4.8</v>
      </c>
      <c r="C197" s="61">
        <f>Ec_A_L+Ec_B_L*$B197</f>
        <v>1.67743970927056</v>
      </c>
      <c r="D197" s="61">
        <f>Ec_A_G</f>
        <v>1.0411380717848</v>
      </c>
      <c r="E197" s="61">
        <f>Ec_A_C</f>
        <v>1.22786480392051</v>
      </c>
      <c r="F197" s="61" t="e">
        <f>IF(ABS($B197-Ec_H2)&lt;=0.025,C197,NA())</f>
        <v>#N/A</v>
      </c>
      <c r="G197" s="61" t="e">
        <f>IF(ISNUMBER(Ec_BE_G),IF(ABS($B197-Ec_BE_G)&lt;=0.025,Ec_A_G,NA()),NA())</f>
        <v>#N/A</v>
      </c>
      <c r="H197" s="61" t="e">
        <f>IF(ISNUMBER(Ec_BE_C),IF(ABS($B197-Ec_BE_C)&lt;=0.025,Ec_A_C,NA()),NA())</f>
        <v>#N/A</v>
      </c>
      <c r="I197" s="39">
        <f>IF(MOD(96,20)=0,TEXT($B197,"0"),"")</f>
        <v/>
      </c>
    </row>
    <row r="198" spans="2:9" ht="17" customHeight="1">
      <c r="B198" s="36">
        <v>4.85</v>
      </c>
      <c r="C198" s="61">
        <f>Ec_A_L+Ec_B_L*$B198</f>
        <v>1.68143970927056</v>
      </c>
      <c r="D198" s="61">
        <f>Ec_A_G</f>
        <v>1.0411380717848</v>
      </c>
      <c r="E198" s="61">
        <f>Ec_A_C</f>
        <v>1.22786480392051</v>
      </c>
      <c r="F198" s="61" t="e">
        <f>IF(ABS($B198-Ec_H2)&lt;=0.025,C198,NA())</f>
        <v>#N/A</v>
      </c>
      <c r="G198" s="61" t="e">
        <f>IF(ISNUMBER(Ec_BE_G),IF(ABS($B198-Ec_BE_G)&lt;=0.025,Ec_A_G,NA()),NA())</f>
        <v>#N/A</v>
      </c>
      <c r="H198" s="61" t="e">
        <f>IF(ISNUMBER(Ec_BE_C),IF(ABS($B198-Ec_BE_C)&lt;=0.025,Ec_A_C,NA()),NA())</f>
        <v>#N/A</v>
      </c>
      <c r="I198" s="39">
        <f>IF(MOD(97,20)=0,TEXT($B198,"0"),"")</f>
        <v/>
      </c>
    </row>
    <row r="199" spans="2:9" ht="17" customHeight="1">
      <c r="B199" s="36">
        <v>4.9</v>
      </c>
      <c r="C199" s="61">
        <f>Ec_A_L+Ec_B_L*$B199</f>
        <v>1.68543970927056</v>
      </c>
      <c r="D199" s="61">
        <f>Ec_A_G</f>
        <v>1.0411380717848</v>
      </c>
      <c r="E199" s="61">
        <f>Ec_A_C</f>
        <v>1.22786480392051</v>
      </c>
      <c r="F199" s="61" t="e">
        <f>IF(ABS($B199-Ec_H2)&lt;=0.025,C199,NA())</f>
        <v>#N/A</v>
      </c>
      <c r="G199" s="61" t="e">
        <f>IF(ISNUMBER(Ec_BE_G),IF(ABS($B199-Ec_BE_G)&lt;=0.025,Ec_A_G,NA()),NA())</f>
        <v>#N/A</v>
      </c>
      <c r="H199" s="61" t="e">
        <f>IF(ISNUMBER(Ec_BE_C),IF(ABS($B199-Ec_BE_C)&lt;=0.025,Ec_A_C,NA()),NA())</f>
        <v>#N/A</v>
      </c>
      <c r="I199" s="39">
        <f>IF(MOD(98,20)=0,TEXT($B199,"0"),"")</f>
        <v/>
      </c>
    </row>
    <row r="200" spans="2:9" ht="17" customHeight="1">
      <c r="B200" s="36">
        <v>4.95</v>
      </c>
      <c r="C200" s="61">
        <f>Ec_A_L+Ec_B_L*$B200</f>
        <v>1.68943970927056</v>
      </c>
      <c r="D200" s="61">
        <f>Ec_A_G</f>
        <v>1.0411380717848</v>
      </c>
      <c r="E200" s="61">
        <f>Ec_A_C</f>
        <v>1.22786480392051</v>
      </c>
      <c r="F200" s="61" t="e">
        <f>IF(ABS($B200-Ec_H2)&lt;=0.025,C200,NA())</f>
        <v>#N/A</v>
      </c>
      <c r="G200" s="61" t="e">
        <f>IF(ISNUMBER(Ec_BE_G),IF(ABS($B200-Ec_BE_G)&lt;=0.025,Ec_A_G,NA()),NA())</f>
        <v>#N/A</v>
      </c>
      <c r="H200" s="61" t="e">
        <f>IF(ISNUMBER(Ec_BE_C),IF(ABS($B200-Ec_BE_C)&lt;=0.025,Ec_A_C,NA()),NA())</f>
        <v>#N/A</v>
      </c>
      <c r="I200" s="39">
        <f>IF(MOD(99,20)=0,TEXT($B200,"0"),"")</f>
        <v/>
      </c>
    </row>
    <row r="201" spans="2:9" ht="17" customHeight="1">
      <c r="B201" s="36">
        <v>5</v>
      </c>
      <c r="C201" s="61">
        <f>Ec_A_L+Ec_B_L*$B201</f>
        <v>1.69343970927056</v>
      </c>
      <c r="D201" s="61">
        <f>Ec_A_G</f>
        <v>1.0411380717848</v>
      </c>
      <c r="E201" s="61">
        <f>Ec_A_C</f>
        <v>1.22786480392051</v>
      </c>
      <c r="F201" s="61" t="e">
        <f>IF(ABS($B201-Ec_H2)&lt;=0.025,C201,NA())</f>
        <v>#N/A</v>
      </c>
      <c r="G201" s="61" t="e">
        <f>IF(ISNUMBER(Ec_BE_G),IF(ABS($B201-Ec_BE_G)&lt;=0.025,Ec_A_G,NA()),NA())</f>
        <v>#N/A</v>
      </c>
      <c r="H201" s="61" t="e">
        <f>IF(ISNUMBER(Ec_BE_C),IF(ABS($B201-Ec_BE_C)&lt;=0.025,Ec_A_C,NA()),NA())</f>
        <v>#N/A</v>
      </c>
      <c r="I201" s="39" t="str">
        <f>IF(MOD(100,20)=0,TEXT($B201,"0"),"")</f>
        <v>5</v>
      </c>
    </row>
    <row r="202" spans="2:9" ht="17" customHeight="1">
      <c r="B202" s="36">
        <v>5.05</v>
      </c>
      <c r="C202" s="61">
        <f>Ec_A_L+Ec_B_L*$B202</f>
        <v>1.69743970927056</v>
      </c>
      <c r="D202" s="61">
        <f>Ec_A_G</f>
        <v>1.0411380717848</v>
      </c>
      <c r="E202" s="61">
        <f>Ec_A_C</f>
        <v>1.22786480392051</v>
      </c>
      <c r="F202" s="61" t="e">
        <f>IF(ABS($B202-Ec_H2)&lt;=0.025,C202,NA())</f>
        <v>#N/A</v>
      </c>
      <c r="G202" s="61" t="e">
        <f>IF(ISNUMBER(Ec_BE_G),IF(ABS($B202-Ec_BE_G)&lt;=0.025,Ec_A_G,NA()),NA())</f>
        <v>#N/A</v>
      </c>
      <c r="H202" s="61" t="e">
        <f>IF(ISNUMBER(Ec_BE_C),IF(ABS($B202-Ec_BE_C)&lt;=0.025,Ec_A_C,NA()),NA())</f>
        <v>#N/A</v>
      </c>
      <c r="I202" s="39">
        <f>IF(MOD(101,20)=0,TEXT($B202,"0"),"")</f>
        <v/>
      </c>
    </row>
    <row r="203" spans="2:9" ht="17" customHeight="1">
      <c r="B203" s="36">
        <v>5.1</v>
      </c>
      <c r="C203" s="61">
        <f>Ec_A_L+Ec_B_L*$B203</f>
        <v>1.70143970927056</v>
      </c>
      <c r="D203" s="61">
        <f>Ec_A_G</f>
        <v>1.0411380717848</v>
      </c>
      <c r="E203" s="61">
        <f>Ec_A_C</f>
        <v>1.22786480392051</v>
      </c>
      <c r="F203" s="61" t="e">
        <f>IF(ABS($B203-Ec_H2)&lt;=0.025,C203,NA())</f>
        <v>#N/A</v>
      </c>
      <c r="G203" s="61" t="e">
        <f>IF(ISNUMBER(Ec_BE_G),IF(ABS($B203-Ec_BE_G)&lt;=0.025,Ec_A_G,NA()),NA())</f>
        <v>#N/A</v>
      </c>
      <c r="H203" s="61" t="e">
        <f>IF(ISNUMBER(Ec_BE_C),IF(ABS($B203-Ec_BE_C)&lt;=0.025,Ec_A_C,NA()),NA())</f>
        <v>#N/A</v>
      </c>
      <c r="I203" s="39">
        <f>IF(MOD(102,20)=0,TEXT($B203,"0"),"")</f>
        <v/>
      </c>
    </row>
    <row r="204" spans="2:9" ht="17" customHeight="1">
      <c r="B204" s="36">
        <v>5.15</v>
      </c>
      <c r="C204" s="61">
        <f>Ec_A_L+Ec_B_L*$B204</f>
        <v>1.70543970927056</v>
      </c>
      <c r="D204" s="61">
        <f>Ec_A_G</f>
        <v>1.0411380717848</v>
      </c>
      <c r="E204" s="61">
        <f>Ec_A_C</f>
        <v>1.22786480392051</v>
      </c>
      <c r="F204" s="61" t="e">
        <f>IF(ABS($B204-Ec_H2)&lt;=0.025,C204,NA())</f>
        <v>#N/A</v>
      </c>
      <c r="G204" s="61" t="e">
        <f>IF(ISNUMBER(Ec_BE_G),IF(ABS($B204-Ec_BE_G)&lt;=0.025,Ec_A_G,NA()),NA())</f>
        <v>#N/A</v>
      </c>
      <c r="H204" s="61" t="e">
        <f>IF(ISNUMBER(Ec_BE_C),IF(ABS($B204-Ec_BE_C)&lt;=0.025,Ec_A_C,NA()),NA())</f>
        <v>#N/A</v>
      </c>
      <c r="I204" s="39">
        <f>IF(MOD(103,20)=0,TEXT($B204,"0"),"")</f>
        <v/>
      </c>
    </row>
    <row r="205" spans="2:9" ht="17" customHeight="1">
      <c r="B205" s="36">
        <v>5.2</v>
      </c>
      <c r="C205" s="61">
        <f>Ec_A_L+Ec_B_L*$B205</f>
        <v>1.70943970927056</v>
      </c>
      <c r="D205" s="61">
        <f>Ec_A_G</f>
        <v>1.0411380717848</v>
      </c>
      <c r="E205" s="61">
        <f>Ec_A_C</f>
        <v>1.22786480392051</v>
      </c>
      <c r="F205" s="61" t="e">
        <f>IF(ABS($B205-Ec_H2)&lt;=0.025,C205,NA())</f>
        <v>#N/A</v>
      </c>
      <c r="G205" s="61" t="e">
        <f>IF(ISNUMBER(Ec_BE_G),IF(ABS($B205-Ec_BE_G)&lt;=0.025,Ec_A_G,NA()),NA())</f>
        <v>#N/A</v>
      </c>
      <c r="H205" s="61" t="e">
        <f>IF(ISNUMBER(Ec_BE_C),IF(ABS($B205-Ec_BE_C)&lt;=0.025,Ec_A_C,NA()),NA())</f>
        <v>#N/A</v>
      </c>
      <c r="I205" s="39">
        <f>IF(MOD(104,20)=0,TEXT($B205,"0"),"")</f>
        <v/>
      </c>
    </row>
    <row r="206" spans="2:9" ht="17" customHeight="1">
      <c r="B206" s="36">
        <v>5.25</v>
      </c>
      <c r="C206" s="61">
        <f>Ec_A_L+Ec_B_L*$B206</f>
        <v>1.71343970927056</v>
      </c>
      <c r="D206" s="61">
        <f>Ec_A_G</f>
        <v>1.0411380717848</v>
      </c>
      <c r="E206" s="61">
        <f>Ec_A_C</f>
        <v>1.22786480392051</v>
      </c>
      <c r="F206" s="61" t="e">
        <f>IF(ABS($B206-Ec_H2)&lt;=0.025,C206,NA())</f>
        <v>#N/A</v>
      </c>
      <c r="G206" s="61" t="e">
        <f>IF(ISNUMBER(Ec_BE_G),IF(ABS($B206-Ec_BE_G)&lt;=0.025,Ec_A_G,NA()),NA())</f>
        <v>#N/A</v>
      </c>
      <c r="H206" s="61" t="e">
        <f>IF(ISNUMBER(Ec_BE_C),IF(ABS($B206-Ec_BE_C)&lt;=0.025,Ec_A_C,NA()),NA())</f>
        <v>#N/A</v>
      </c>
      <c r="I206" s="39">
        <f>IF(MOD(105,20)=0,TEXT($B206,"0"),"")</f>
        <v/>
      </c>
    </row>
    <row r="207" spans="2:9" ht="17" customHeight="1">
      <c r="B207" s="36">
        <v>5.3</v>
      </c>
      <c r="C207" s="61">
        <f>Ec_A_L+Ec_B_L*$B207</f>
        <v>1.71743970927056</v>
      </c>
      <c r="D207" s="61">
        <f>Ec_A_G</f>
        <v>1.0411380717848</v>
      </c>
      <c r="E207" s="61">
        <f>Ec_A_C</f>
        <v>1.22786480392051</v>
      </c>
      <c r="F207" s="61" t="e">
        <f>IF(ABS($B207-Ec_H2)&lt;=0.025,C207,NA())</f>
        <v>#N/A</v>
      </c>
      <c r="G207" s="61" t="e">
        <f>IF(ISNUMBER(Ec_BE_G),IF(ABS($B207-Ec_BE_G)&lt;=0.025,Ec_A_G,NA()),NA())</f>
        <v>#N/A</v>
      </c>
      <c r="H207" s="61" t="e">
        <f>IF(ISNUMBER(Ec_BE_C),IF(ABS($B207-Ec_BE_C)&lt;=0.025,Ec_A_C,NA()),NA())</f>
        <v>#N/A</v>
      </c>
      <c r="I207" s="39">
        <f>IF(MOD(106,20)=0,TEXT($B207,"0"),"")</f>
        <v/>
      </c>
    </row>
    <row r="208" spans="2:9" ht="17" customHeight="1">
      <c r="B208" s="36">
        <v>5.35</v>
      </c>
      <c r="C208" s="61">
        <f>Ec_A_L+Ec_B_L*$B208</f>
        <v>1.72143970927056</v>
      </c>
      <c r="D208" s="61">
        <f>Ec_A_G</f>
        <v>1.0411380717848</v>
      </c>
      <c r="E208" s="61">
        <f>Ec_A_C</f>
        <v>1.22786480392051</v>
      </c>
      <c r="F208" s="61" t="e">
        <f>IF(ABS($B208-Ec_H2)&lt;=0.025,C208,NA())</f>
        <v>#N/A</v>
      </c>
      <c r="G208" s="61" t="e">
        <f>IF(ISNUMBER(Ec_BE_G),IF(ABS($B208-Ec_BE_G)&lt;=0.025,Ec_A_G,NA()),NA())</f>
        <v>#N/A</v>
      </c>
      <c r="H208" s="61" t="e">
        <f>IF(ISNUMBER(Ec_BE_C),IF(ABS($B208-Ec_BE_C)&lt;=0.025,Ec_A_C,NA()),NA())</f>
        <v>#N/A</v>
      </c>
      <c r="I208" s="39">
        <f>IF(MOD(107,20)=0,TEXT($B208,"0"),"")</f>
        <v/>
      </c>
    </row>
    <row r="209" spans="2:9" ht="17" customHeight="1">
      <c r="B209" s="36">
        <v>5.4</v>
      </c>
      <c r="C209" s="61">
        <f>Ec_A_L+Ec_B_L*$B209</f>
        <v>1.72543970927056</v>
      </c>
      <c r="D209" s="61">
        <f>Ec_A_G</f>
        <v>1.0411380717848</v>
      </c>
      <c r="E209" s="61">
        <f>Ec_A_C</f>
        <v>1.22786480392051</v>
      </c>
      <c r="F209" s="61" t="e">
        <f>IF(ABS($B209-Ec_H2)&lt;=0.025,C209,NA())</f>
        <v>#N/A</v>
      </c>
      <c r="G209" s="61" t="e">
        <f>IF(ISNUMBER(Ec_BE_G),IF(ABS($B209-Ec_BE_G)&lt;=0.025,Ec_A_G,NA()),NA())</f>
        <v>#N/A</v>
      </c>
      <c r="H209" s="61" t="e">
        <f>IF(ISNUMBER(Ec_BE_C),IF(ABS($B209-Ec_BE_C)&lt;=0.025,Ec_A_C,NA()),NA())</f>
        <v>#N/A</v>
      </c>
      <c r="I209" s="39">
        <f>IF(MOD(108,20)=0,TEXT($B209,"0"),"")</f>
        <v/>
      </c>
    </row>
    <row r="210" spans="2:9" ht="17" customHeight="1">
      <c r="B210" s="36">
        <v>5.45</v>
      </c>
      <c r="C210" s="61">
        <f>Ec_A_L+Ec_B_L*$B210</f>
        <v>1.72943970927056</v>
      </c>
      <c r="D210" s="61">
        <f>Ec_A_G</f>
        <v>1.0411380717848</v>
      </c>
      <c r="E210" s="61">
        <f>Ec_A_C</f>
        <v>1.22786480392051</v>
      </c>
      <c r="F210" s="61" t="e">
        <f>IF(ABS($B210-Ec_H2)&lt;=0.025,C210,NA())</f>
        <v>#N/A</v>
      </c>
      <c r="G210" s="61" t="e">
        <f>IF(ISNUMBER(Ec_BE_G),IF(ABS($B210-Ec_BE_G)&lt;=0.025,Ec_A_G,NA()),NA())</f>
        <v>#N/A</v>
      </c>
      <c r="H210" s="61" t="e">
        <f>IF(ISNUMBER(Ec_BE_C),IF(ABS($B210-Ec_BE_C)&lt;=0.025,Ec_A_C,NA()),NA())</f>
        <v>#N/A</v>
      </c>
      <c r="I210" s="39">
        <f>IF(MOD(109,20)=0,TEXT($B210,"0"),"")</f>
        <v/>
      </c>
    </row>
    <row r="211" spans="2:9" ht="17" customHeight="1">
      <c r="B211" s="36">
        <v>5.5</v>
      </c>
      <c r="C211" s="61">
        <f>Ec_A_L+Ec_B_L*$B211</f>
        <v>1.73343970927056</v>
      </c>
      <c r="D211" s="61">
        <f>Ec_A_G</f>
        <v>1.0411380717848</v>
      </c>
      <c r="E211" s="61">
        <f>Ec_A_C</f>
        <v>1.22786480392051</v>
      </c>
      <c r="F211" s="61" t="e">
        <f>IF(ABS($B211-Ec_H2)&lt;=0.025,C211,NA())</f>
        <v>#N/A</v>
      </c>
      <c r="G211" s="61" t="e">
        <f>IF(ISNUMBER(Ec_BE_G),IF(ABS($B211-Ec_BE_G)&lt;=0.025,Ec_A_G,NA()),NA())</f>
        <v>#N/A</v>
      </c>
      <c r="H211" s="61" t="e">
        <f>IF(ISNUMBER(Ec_BE_C),IF(ABS($B211-Ec_BE_C)&lt;=0.025,Ec_A_C,NA()),NA())</f>
        <v>#N/A</v>
      </c>
      <c r="I211" s="39">
        <f>IF(MOD(110,20)=0,TEXT($B211,"0"),"")</f>
        <v/>
      </c>
    </row>
    <row r="212" spans="2:9" ht="17" customHeight="1">
      <c r="B212" s="36">
        <v>5.55</v>
      </c>
      <c r="C212" s="61">
        <f>Ec_A_L+Ec_B_L*$B212</f>
        <v>1.73743970927056</v>
      </c>
      <c r="D212" s="61">
        <f>Ec_A_G</f>
        <v>1.0411380717848</v>
      </c>
      <c r="E212" s="61">
        <f>Ec_A_C</f>
        <v>1.22786480392051</v>
      </c>
      <c r="F212" s="61" t="e">
        <f>IF(ABS($B212-Ec_H2)&lt;=0.025,C212,NA())</f>
        <v>#N/A</v>
      </c>
      <c r="G212" s="61" t="e">
        <f>IF(ISNUMBER(Ec_BE_G),IF(ABS($B212-Ec_BE_G)&lt;=0.025,Ec_A_G,NA()),NA())</f>
        <v>#N/A</v>
      </c>
      <c r="H212" s="61" t="e">
        <f>IF(ISNUMBER(Ec_BE_C),IF(ABS($B212-Ec_BE_C)&lt;=0.025,Ec_A_C,NA()),NA())</f>
        <v>#N/A</v>
      </c>
      <c r="I212" s="39">
        <f>IF(MOD(111,20)=0,TEXT($B212,"0"),"")</f>
        <v/>
      </c>
    </row>
    <row r="213" spans="2:9" ht="17" customHeight="1">
      <c r="B213" s="36">
        <v>5.6</v>
      </c>
      <c r="C213" s="61">
        <f>Ec_A_L+Ec_B_L*$B213</f>
        <v>1.74143970927056</v>
      </c>
      <c r="D213" s="61">
        <f>Ec_A_G</f>
        <v>1.0411380717848</v>
      </c>
      <c r="E213" s="61">
        <f>Ec_A_C</f>
        <v>1.22786480392051</v>
      </c>
      <c r="F213" s="61" t="e">
        <f>IF(ABS($B213-Ec_H2)&lt;=0.025,C213,NA())</f>
        <v>#N/A</v>
      </c>
      <c r="G213" s="61" t="e">
        <f>IF(ISNUMBER(Ec_BE_G),IF(ABS($B213-Ec_BE_G)&lt;=0.025,Ec_A_G,NA()),NA())</f>
        <v>#N/A</v>
      </c>
      <c r="H213" s="61" t="e">
        <f>IF(ISNUMBER(Ec_BE_C),IF(ABS($B213-Ec_BE_C)&lt;=0.025,Ec_A_C,NA()),NA())</f>
        <v>#N/A</v>
      </c>
      <c r="I213" s="39">
        <f>IF(MOD(112,20)=0,TEXT($B213,"0"),"")</f>
        <v/>
      </c>
    </row>
    <row r="214" spans="2:9" ht="17" customHeight="1">
      <c r="B214" s="36">
        <v>5.65</v>
      </c>
      <c r="C214" s="61">
        <f>Ec_A_L+Ec_B_L*$B214</f>
        <v>1.74543970927056</v>
      </c>
      <c r="D214" s="61">
        <f>Ec_A_G</f>
        <v>1.0411380717848</v>
      </c>
      <c r="E214" s="61">
        <f>Ec_A_C</f>
        <v>1.22786480392051</v>
      </c>
      <c r="F214" s="61" t="e">
        <f>IF(ABS($B214-Ec_H2)&lt;=0.025,C214,NA())</f>
        <v>#N/A</v>
      </c>
      <c r="G214" s="61" t="e">
        <f>IF(ISNUMBER(Ec_BE_G),IF(ABS($B214-Ec_BE_G)&lt;=0.025,Ec_A_G,NA()),NA())</f>
        <v>#N/A</v>
      </c>
      <c r="H214" s="61" t="e">
        <f>IF(ISNUMBER(Ec_BE_C),IF(ABS($B214-Ec_BE_C)&lt;=0.025,Ec_A_C,NA()),NA())</f>
        <v>#N/A</v>
      </c>
      <c r="I214" s="39">
        <f>IF(MOD(113,20)=0,TEXT($B214,"0"),"")</f>
        <v/>
      </c>
    </row>
    <row r="215" spans="2:9" ht="17" customHeight="1">
      <c r="B215" s="36">
        <v>5.7</v>
      </c>
      <c r="C215" s="61">
        <f>Ec_A_L+Ec_B_L*$B215</f>
        <v>1.74943970927056</v>
      </c>
      <c r="D215" s="61">
        <f>Ec_A_G</f>
        <v>1.0411380717848</v>
      </c>
      <c r="E215" s="61">
        <f>Ec_A_C</f>
        <v>1.22786480392051</v>
      </c>
      <c r="F215" s="61" t="e">
        <f>IF(ABS($B215-Ec_H2)&lt;=0.025,C215,NA())</f>
        <v>#N/A</v>
      </c>
      <c r="G215" s="61" t="e">
        <f>IF(ISNUMBER(Ec_BE_G),IF(ABS($B215-Ec_BE_G)&lt;=0.025,Ec_A_G,NA()),NA())</f>
        <v>#N/A</v>
      </c>
      <c r="H215" s="61" t="e">
        <f>IF(ISNUMBER(Ec_BE_C),IF(ABS($B215-Ec_BE_C)&lt;=0.025,Ec_A_C,NA()),NA())</f>
        <v>#N/A</v>
      </c>
      <c r="I215" s="39">
        <f>IF(MOD(114,20)=0,TEXT($B215,"0"),"")</f>
        <v/>
      </c>
    </row>
    <row r="216" spans="2:9" ht="17" customHeight="1">
      <c r="B216" s="36">
        <v>5.75</v>
      </c>
      <c r="C216" s="61">
        <f>Ec_A_L+Ec_B_L*$B216</f>
        <v>1.75343970927056</v>
      </c>
      <c r="D216" s="61">
        <f>Ec_A_G</f>
        <v>1.0411380717848</v>
      </c>
      <c r="E216" s="61">
        <f>Ec_A_C</f>
        <v>1.22786480392051</v>
      </c>
      <c r="F216" s="61" t="e">
        <f>IF(ABS($B216-Ec_H2)&lt;=0.025,C216,NA())</f>
        <v>#N/A</v>
      </c>
      <c r="G216" s="61" t="e">
        <f>IF(ISNUMBER(Ec_BE_G),IF(ABS($B216-Ec_BE_G)&lt;=0.025,Ec_A_G,NA()),NA())</f>
        <v>#N/A</v>
      </c>
      <c r="H216" s="61" t="e">
        <f>IF(ISNUMBER(Ec_BE_C),IF(ABS($B216-Ec_BE_C)&lt;=0.025,Ec_A_C,NA()),NA())</f>
        <v>#N/A</v>
      </c>
      <c r="I216" s="39">
        <f>IF(MOD(115,20)=0,TEXT($B216,"0"),"")</f>
        <v/>
      </c>
    </row>
    <row r="217" spans="2:9" ht="17" customHeight="1">
      <c r="B217" s="36">
        <v>5.8</v>
      </c>
      <c r="C217" s="61">
        <f>Ec_A_L+Ec_B_L*$B217</f>
        <v>1.75743970927056</v>
      </c>
      <c r="D217" s="61">
        <f>Ec_A_G</f>
        <v>1.0411380717848</v>
      </c>
      <c r="E217" s="61">
        <f>Ec_A_C</f>
        <v>1.22786480392051</v>
      </c>
      <c r="F217" s="61" t="e">
        <f>IF(ABS($B217-Ec_H2)&lt;=0.025,C217,NA())</f>
        <v>#N/A</v>
      </c>
      <c r="G217" s="61" t="e">
        <f>IF(ISNUMBER(Ec_BE_G),IF(ABS($B217-Ec_BE_G)&lt;=0.025,Ec_A_G,NA()),NA())</f>
        <v>#N/A</v>
      </c>
      <c r="H217" s="61" t="e">
        <f>IF(ISNUMBER(Ec_BE_C),IF(ABS($B217-Ec_BE_C)&lt;=0.025,Ec_A_C,NA()),NA())</f>
        <v>#N/A</v>
      </c>
      <c r="I217" s="39">
        <f>IF(MOD(116,20)=0,TEXT($B217,"0"),"")</f>
        <v/>
      </c>
    </row>
    <row r="218" spans="2:9" ht="17" customHeight="1">
      <c r="B218" s="36">
        <v>5.85</v>
      </c>
      <c r="C218" s="61">
        <f>Ec_A_L+Ec_B_L*$B218</f>
        <v>1.76143970927056</v>
      </c>
      <c r="D218" s="61">
        <f>Ec_A_G</f>
        <v>1.0411380717848</v>
      </c>
      <c r="E218" s="61">
        <f>Ec_A_C</f>
        <v>1.22786480392051</v>
      </c>
      <c r="F218" s="61" t="e">
        <f>IF(ABS($B218-Ec_H2)&lt;=0.025,C218,NA())</f>
        <v>#N/A</v>
      </c>
      <c r="G218" s="61" t="e">
        <f>IF(ISNUMBER(Ec_BE_G),IF(ABS($B218-Ec_BE_G)&lt;=0.025,Ec_A_G,NA()),NA())</f>
        <v>#N/A</v>
      </c>
      <c r="H218" s="61" t="e">
        <f>IF(ISNUMBER(Ec_BE_C),IF(ABS($B218-Ec_BE_C)&lt;=0.025,Ec_A_C,NA()),NA())</f>
        <v>#N/A</v>
      </c>
      <c r="I218" s="39">
        <f>IF(MOD(117,20)=0,TEXT($B218,"0"),"")</f>
        <v/>
      </c>
    </row>
    <row r="219" spans="2:9" ht="17" customHeight="1">
      <c r="B219" s="36">
        <v>5.9</v>
      </c>
      <c r="C219" s="61">
        <f>Ec_A_L+Ec_B_L*$B219</f>
        <v>1.76543970927056</v>
      </c>
      <c r="D219" s="61">
        <f>Ec_A_G</f>
        <v>1.0411380717848</v>
      </c>
      <c r="E219" s="61">
        <f>Ec_A_C</f>
        <v>1.22786480392051</v>
      </c>
      <c r="F219" s="61" t="e">
        <f>IF(ABS($B219-Ec_H2)&lt;=0.025,C219,NA())</f>
        <v>#N/A</v>
      </c>
      <c r="G219" s="61" t="e">
        <f>IF(ISNUMBER(Ec_BE_G),IF(ABS($B219-Ec_BE_G)&lt;=0.025,Ec_A_G,NA()),NA())</f>
        <v>#N/A</v>
      </c>
      <c r="H219" s="61" t="e">
        <f>IF(ISNUMBER(Ec_BE_C),IF(ABS($B219-Ec_BE_C)&lt;=0.025,Ec_A_C,NA()),NA())</f>
        <v>#N/A</v>
      </c>
      <c r="I219" s="39">
        <f>IF(MOD(118,20)=0,TEXT($B219,"0"),"")</f>
        <v/>
      </c>
    </row>
    <row r="220" spans="2:9" ht="17" customHeight="1">
      <c r="B220" s="36">
        <v>5.95</v>
      </c>
      <c r="C220" s="61">
        <f>Ec_A_L+Ec_B_L*$B220</f>
        <v>1.76943970927056</v>
      </c>
      <c r="D220" s="61">
        <f>Ec_A_G</f>
        <v>1.0411380717848</v>
      </c>
      <c r="E220" s="61">
        <f>Ec_A_C</f>
        <v>1.22786480392051</v>
      </c>
      <c r="F220" s="61" t="e">
        <f>IF(ABS($B220-Ec_H2)&lt;=0.025,C220,NA())</f>
        <v>#N/A</v>
      </c>
      <c r="G220" s="61" t="e">
        <f>IF(ISNUMBER(Ec_BE_G),IF(ABS($B220-Ec_BE_G)&lt;=0.025,Ec_A_G,NA()),NA())</f>
        <v>#N/A</v>
      </c>
      <c r="H220" s="61" t="e">
        <f>IF(ISNUMBER(Ec_BE_C),IF(ABS($B220-Ec_BE_C)&lt;=0.025,Ec_A_C,NA()),NA())</f>
        <v>#N/A</v>
      </c>
      <c r="I220" s="39">
        <f>IF(MOD(119,20)=0,TEXT($B220,"0"),"")</f>
        <v/>
      </c>
    </row>
    <row r="221" spans="2:9" ht="17" customHeight="1">
      <c r="B221" s="36">
        <v>6</v>
      </c>
      <c r="C221" s="61">
        <f>Ec_A_L+Ec_B_L*$B221</f>
        <v>1.77343970927056</v>
      </c>
      <c r="D221" s="61">
        <f>Ec_A_G</f>
        <v>1.0411380717848</v>
      </c>
      <c r="E221" s="61">
        <f>Ec_A_C</f>
        <v>1.22786480392051</v>
      </c>
      <c r="F221" s="61" t="e">
        <f>IF(ABS($B221-Ec_H2)&lt;=0.025,C221,NA())</f>
        <v>#N/A</v>
      </c>
      <c r="G221" s="61" t="e">
        <f>IF(ISNUMBER(Ec_BE_G),IF(ABS($B221-Ec_BE_G)&lt;=0.025,Ec_A_G,NA()),NA())</f>
        <v>#N/A</v>
      </c>
      <c r="H221" s="61" t="e">
        <f>IF(ISNUMBER(Ec_BE_C),IF(ABS($B221-Ec_BE_C)&lt;=0.025,Ec_A_C,NA()),NA())</f>
        <v>#N/A</v>
      </c>
      <c r="I221" s="39" t="str">
        <f>IF(MOD(120,20)=0,TEXT($B221,"0"),"")</f>
        <v>6</v>
      </c>
    </row>
    <row r="222" spans="2:9" ht="17" customHeight="1">
      <c r="B222" s="36">
        <v>6.05</v>
      </c>
      <c r="C222" s="61">
        <f>Ec_A_L+Ec_B_L*$B222</f>
        <v>1.77743970927056</v>
      </c>
      <c r="D222" s="61">
        <f>Ec_A_G</f>
        <v>1.0411380717848</v>
      </c>
      <c r="E222" s="61">
        <f>Ec_A_C</f>
        <v>1.22786480392051</v>
      </c>
      <c r="F222" s="61" t="e">
        <f>IF(ABS($B222-Ec_H2)&lt;=0.025,C222,NA())</f>
        <v>#N/A</v>
      </c>
      <c r="G222" s="61" t="e">
        <f>IF(ISNUMBER(Ec_BE_G),IF(ABS($B222-Ec_BE_G)&lt;=0.025,Ec_A_G,NA()),NA())</f>
        <v>#N/A</v>
      </c>
      <c r="H222" s="61" t="e">
        <f>IF(ISNUMBER(Ec_BE_C),IF(ABS($B222-Ec_BE_C)&lt;=0.025,Ec_A_C,NA()),NA())</f>
        <v>#N/A</v>
      </c>
      <c r="I222" s="39">
        <f>IF(MOD(121,20)=0,TEXT($B222,"0"),"")</f>
        <v/>
      </c>
    </row>
    <row r="223" spans="2:9" ht="17" customHeight="1">
      <c r="B223" s="36">
        <v>6.1</v>
      </c>
      <c r="C223" s="61">
        <f>Ec_A_L+Ec_B_L*$B223</f>
        <v>1.78143970927056</v>
      </c>
      <c r="D223" s="61">
        <f>Ec_A_G</f>
        <v>1.0411380717848</v>
      </c>
      <c r="E223" s="61">
        <f>Ec_A_C</f>
        <v>1.22786480392051</v>
      </c>
      <c r="F223" s="61" t="e">
        <f>IF(ABS($B223-Ec_H2)&lt;=0.025,C223,NA())</f>
        <v>#N/A</v>
      </c>
      <c r="G223" s="61" t="e">
        <f>IF(ISNUMBER(Ec_BE_G),IF(ABS($B223-Ec_BE_G)&lt;=0.025,Ec_A_G,NA()),NA())</f>
        <v>#N/A</v>
      </c>
      <c r="H223" s="61" t="e">
        <f>IF(ISNUMBER(Ec_BE_C),IF(ABS($B223-Ec_BE_C)&lt;=0.025,Ec_A_C,NA()),NA())</f>
        <v>#N/A</v>
      </c>
      <c r="I223" s="39">
        <f>IF(MOD(122,20)=0,TEXT($B223,"0"),"")</f>
        <v/>
      </c>
    </row>
    <row r="224" spans="2:9" ht="17" customHeight="1">
      <c r="B224" s="36">
        <v>6.15</v>
      </c>
      <c r="C224" s="61">
        <f>Ec_A_L+Ec_B_L*$B224</f>
        <v>1.78543970927056</v>
      </c>
      <c r="D224" s="61">
        <f>Ec_A_G</f>
        <v>1.0411380717848</v>
      </c>
      <c r="E224" s="61">
        <f>Ec_A_C</f>
        <v>1.22786480392051</v>
      </c>
      <c r="F224" s="61" t="e">
        <f>IF(ABS($B224-Ec_H2)&lt;=0.025,C224,NA())</f>
        <v>#N/A</v>
      </c>
      <c r="G224" s="61" t="e">
        <f>IF(ISNUMBER(Ec_BE_G),IF(ABS($B224-Ec_BE_G)&lt;=0.025,Ec_A_G,NA()),NA())</f>
        <v>#N/A</v>
      </c>
      <c r="H224" s="61" t="e">
        <f>IF(ISNUMBER(Ec_BE_C),IF(ABS($B224-Ec_BE_C)&lt;=0.025,Ec_A_C,NA()),NA())</f>
        <v>#N/A</v>
      </c>
      <c r="I224" s="39">
        <f>IF(MOD(123,20)=0,TEXT($B224,"0"),"")</f>
        <v/>
      </c>
    </row>
    <row r="225" spans="2:9" ht="17" customHeight="1">
      <c r="B225" s="36">
        <v>6.2</v>
      </c>
      <c r="C225" s="61">
        <f>Ec_A_L+Ec_B_L*$B225</f>
        <v>1.78943970927056</v>
      </c>
      <c r="D225" s="61">
        <f>Ec_A_G</f>
        <v>1.0411380717848</v>
      </c>
      <c r="E225" s="61">
        <f>Ec_A_C</f>
        <v>1.22786480392051</v>
      </c>
      <c r="F225" s="61" t="e">
        <f>IF(ABS($B225-Ec_H2)&lt;=0.025,C225,NA())</f>
        <v>#N/A</v>
      </c>
      <c r="G225" s="61" t="e">
        <f>IF(ISNUMBER(Ec_BE_G),IF(ABS($B225-Ec_BE_G)&lt;=0.025,Ec_A_G,NA()),NA())</f>
        <v>#N/A</v>
      </c>
      <c r="H225" s="61" t="e">
        <f>IF(ISNUMBER(Ec_BE_C),IF(ABS($B225-Ec_BE_C)&lt;=0.025,Ec_A_C,NA()),NA())</f>
        <v>#N/A</v>
      </c>
      <c r="I225" s="39">
        <f>IF(MOD(124,20)=0,TEXT($B225,"0"),"")</f>
        <v/>
      </c>
    </row>
    <row r="226" spans="2:9" ht="17" customHeight="1">
      <c r="B226" s="36">
        <v>6.25</v>
      </c>
      <c r="C226" s="61">
        <f>Ec_A_L+Ec_B_L*$B226</f>
        <v>1.79343970927056</v>
      </c>
      <c r="D226" s="61">
        <f>Ec_A_G</f>
        <v>1.0411380717848</v>
      </c>
      <c r="E226" s="61">
        <f>Ec_A_C</f>
        <v>1.22786480392051</v>
      </c>
      <c r="F226" s="61" t="e">
        <f>IF(ABS($B226-Ec_H2)&lt;=0.025,C226,NA())</f>
        <v>#N/A</v>
      </c>
      <c r="G226" s="61" t="e">
        <f>IF(ISNUMBER(Ec_BE_G),IF(ABS($B226-Ec_BE_G)&lt;=0.025,Ec_A_G,NA()),NA())</f>
        <v>#N/A</v>
      </c>
      <c r="H226" s="61" t="e">
        <f>IF(ISNUMBER(Ec_BE_C),IF(ABS($B226-Ec_BE_C)&lt;=0.025,Ec_A_C,NA()),NA())</f>
        <v>#N/A</v>
      </c>
      <c r="I226" s="39">
        <f>IF(MOD(125,20)=0,TEXT($B226,"0"),"")</f>
        <v/>
      </c>
    </row>
    <row r="227" spans="2:9" ht="17" customHeight="1">
      <c r="B227" s="36">
        <v>6.3</v>
      </c>
      <c r="C227" s="61">
        <f>Ec_A_L+Ec_B_L*$B227</f>
        <v>1.79743970927056</v>
      </c>
      <c r="D227" s="61">
        <f>Ec_A_G</f>
        <v>1.0411380717848</v>
      </c>
      <c r="E227" s="61">
        <f>Ec_A_C</f>
        <v>1.22786480392051</v>
      </c>
      <c r="F227" s="61" t="e">
        <f>IF(ABS($B227-Ec_H2)&lt;=0.025,C227,NA())</f>
        <v>#N/A</v>
      </c>
      <c r="G227" s="61" t="e">
        <f>IF(ISNUMBER(Ec_BE_G),IF(ABS($B227-Ec_BE_G)&lt;=0.025,Ec_A_G,NA()),NA())</f>
        <v>#N/A</v>
      </c>
      <c r="H227" s="61" t="e">
        <f>IF(ISNUMBER(Ec_BE_C),IF(ABS($B227-Ec_BE_C)&lt;=0.025,Ec_A_C,NA()),NA())</f>
        <v>#N/A</v>
      </c>
      <c r="I227" s="39">
        <f>IF(MOD(126,20)=0,TEXT($B227,"0"),"")</f>
        <v/>
      </c>
    </row>
    <row r="228" spans="2:9" ht="17" customHeight="1">
      <c r="B228" s="36">
        <v>6.35</v>
      </c>
      <c r="C228" s="61">
        <f>Ec_A_L+Ec_B_L*$B228</f>
        <v>1.80143970927056</v>
      </c>
      <c r="D228" s="61">
        <f>Ec_A_G</f>
        <v>1.0411380717848</v>
      </c>
      <c r="E228" s="61">
        <f>Ec_A_C</f>
        <v>1.22786480392051</v>
      </c>
      <c r="F228" s="61" t="e">
        <f>IF(ABS($B228-Ec_H2)&lt;=0.025,C228,NA())</f>
        <v>#N/A</v>
      </c>
      <c r="G228" s="61" t="e">
        <f>IF(ISNUMBER(Ec_BE_G),IF(ABS($B228-Ec_BE_G)&lt;=0.025,Ec_A_G,NA()),NA())</f>
        <v>#N/A</v>
      </c>
      <c r="H228" s="61" t="e">
        <f>IF(ISNUMBER(Ec_BE_C),IF(ABS($B228-Ec_BE_C)&lt;=0.025,Ec_A_C,NA()),NA())</f>
        <v>#N/A</v>
      </c>
      <c r="I228" s="39">
        <f>IF(MOD(127,20)=0,TEXT($B228,"0"),"")</f>
        <v/>
      </c>
    </row>
    <row r="229" spans="2:9" ht="17" customHeight="1">
      <c r="B229" s="36">
        <v>6.4</v>
      </c>
      <c r="C229" s="61">
        <f>Ec_A_L+Ec_B_L*$B229</f>
        <v>1.80543970927056</v>
      </c>
      <c r="D229" s="61">
        <f>Ec_A_G</f>
        <v>1.0411380717848</v>
      </c>
      <c r="E229" s="61">
        <f>Ec_A_C</f>
        <v>1.22786480392051</v>
      </c>
      <c r="F229" s="61" t="e">
        <f>IF(ABS($B229-Ec_H2)&lt;=0.025,C229,NA())</f>
        <v>#N/A</v>
      </c>
      <c r="G229" s="61" t="e">
        <f>IF(ISNUMBER(Ec_BE_G),IF(ABS($B229-Ec_BE_G)&lt;=0.025,Ec_A_G,NA()),NA())</f>
        <v>#N/A</v>
      </c>
      <c r="H229" s="61" t="e">
        <f>IF(ISNUMBER(Ec_BE_C),IF(ABS($B229-Ec_BE_C)&lt;=0.025,Ec_A_C,NA()),NA())</f>
        <v>#N/A</v>
      </c>
      <c r="I229" s="39">
        <f>IF(MOD(128,20)=0,TEXT($B229,"0"),"")</f>
        <v/>
      </c>
    </row>
    <row r="230" spans="2:9" ht="17" customHeight="1">
      <c r="B230" s="36">
        <v>6.45</v>
      </c>
      <c r="C230" s="61">
        <f>Ec_A_L+Ec_B_L*$B230</f>
        <v>1.80943970927056</v>
      </c>
      <c r="D230" s="61">
        <f>Ec_A_G</f>
        <v>1.0411380717848</v>
      </c>
      <c r="E230" s="61">
        <f>Ec_A_C</f>
        <v>1.22786480392051</v>
      </c>
      <c r="F230" s="61" t="e">
        <f>IF(ABS($B230-Ec_H2)&lt;=0.025,C230,NA())</f>
        <v>#N/A</v>
      </c>
      <c r="G230" s="61" t="e">
        <f>IF(ISNUMBER(Ec_BE_G),IF(ABS($B230-Ec_BE_G)&lt;=0.025,Ec_A_G,NA()),NA())</f>
        <v>#N/A</v>
      </c>
      <c r="H230" s="61" t="e">
        <f>IF(ISNUMBER(Ec_BE_C),IF(ABS($B230-Ec_BE_C)&lt;=0.025,Ec_A_C,NA()),NA())</f>
        <v>#N/A</v>
      </c>
      <c r="I230" s="39">
        <f>IF(MOD(129,20)=0,TEXT($B230,"0"),"")</f>
        <v/>
      </c>
    </row>
    <row r="231" spans="2:9" ht="17" customHeight="1">
      <c r="B231" s="36">
        <v>6.5</v>
      </c>
      <c r="C231" s="61">
        <f>Ec_A_L+Ec_B_L*$B231</f>
        <v>1.81343970927056</v>
      </c>
      <c r="D231" s="61">
        <f>Ec_A_G</f>
        <v>1.0411380717848</v>
      </c>
      <c r="E231" s="61">
        <f>Ec_A_C</f>
        <v>1.22786480392051</v>
      </c>
      <c r="F231" s="61" t="e">
        <f>IF(ABS($B231-Ec_H2)&lt;=0.025,C231,NA())</f>
        <v>#N/A</v>
      </c>
      <c r="G231" s="61" t="e">
        <f>IF(ISNUMBER(Ec_BE_G),IF(ABS($B231-Ec_BE_G)&lt;=0.025,Ec_A_G,NA()),NA())</f>
        <v>#N/A</v>
      </c>
      <c r="H231" s="61" t="e">
        <f>IF(ISNUMBER(Ec_BE_C),IF(ABS($B231-Ec_BE_C)&lt;=0.025,Ec_A_C,NA()),NA())</f>
        <v>#N/A</v>
      </c>
      <c r="I231" s="39">
        <f>IF(MOD(130,20)=0,TEXT($B231,"0"),"")</f>
        <v/>
      </c>
    </row>
    <row r="232" spans="2:9" ht="17" customHeight="1">
      <c r="B232" s="36">
        <v>6.55</v>
      </c>
      <c r="C232" s="61">
        <f>Ec_A_L+Ec_B_L*$B232</f>
        <v>1.81743970927056</v>
      </c>
      <c r="D232" s="61">
        <f>Ec_A_G</f>
        <v>1.0411380717848</v>
      </c>
      <c r="E232" s="61">
        <f>Ec_A_C</f>
        <v>1.22786480392051</v>
      </c>
      <c r="F232" s="61" t="e">
        <f>IF(ABS($B232-Ec_H2)&lt;=0.025,C232,NA())</f>
        <v>#N/A</v>
      </c>
      <c r="G232" s="61" t="e">
        <f>IF(ISNUMBER(Ec_BE_G),IF(ABS($B232-Ec_BE_G)&lt;=0.025,Ec_A_G,NA()),NA())</f>
        <v>#N/A</v>
      </c>
      <c r="H232" s="61" t="e">
        <f>IF(ISNUMBER(Ec_BE_C),IF(ABS($B232-Ec_BE_C)&lt;=0.025,Ec_A_C,NA()),NA())</f>
        <v>#N/A</v>
      </c>
      <c r="I232" s="39">
        <f>IF(MOD(131,20)=0,TEXT($B232,"0"),"")</f>
        <v/>
      </c>
    </row>
    <row r="233" spans="2:9" ht="17" customHeight="1">
      <c r="B233" s="36">
        <v>6.6</v>
      </c>
      <c r="C233" s="61">
        <f>Ec_A_L+Ec_B_L*$B233</f>
        <v>1.82143970927056</v>
      </c>
      <c r="D233" s="61">
        <f>Ec_A_G</f>
        <v>1.0411380717848</v>
      </c>
      <c r="E233" s="61">
        <f>Ec_A_C</f>
        <v>1.22786480392051</v>
      </c>
      <c r="F233" s="61" t="e">
        <f>IF(ABS($B233-Ec_H2)&lt;=0.025,C233,NA())</f>
        <v>#N/A</v>
      </c>
      <c r="G233" s="61" t="e">
        <f>IF(ISNUMBER(Ec_BE_G),IF(ABS($B233-Ec_BE_G)&lt;=0.025,Ec_A_G,NA()),NA())</f>
        <v>#N/A</v>
      </c>
      <c r="H233" s="61" t="e">
        <f>IF(ISNUMBER(Ec_BE_C),IF(ABS($B233-Ec_BE_C)&lt;=0.025,Ec_A_C,NA()),NA())</f>
        <v>#N/A</v>
      </c>
      <c r="I233" s="39">
        <f>IF(MOD(132,20)=0,TEXT($B233,"0"),"")</f>
        <v/>
      </c>
    </row>
    <row r="234" spans="2:9" ht="17" customHeight="1">
      <c r="B234" s="36">
        <v>6.65</v>
      </c>
      <c r="C234" s="61">
        <f>Ec_A_L+Ec_B_L*$B234</f>
        <v>1.82543970927056</v>
      </c>
      <c r="D234" s="61">
        <f>Ec_A_G</f>
        <v>1.0411380717848</v>
      </c>
      <c r="E234" s="61">
        <f>Ec_A_C</f>
        <v>1.22786480392051</v>
      </c>
      <c r="F234" s="61" t="e">
        <f>IF(ABS($B234-Ec_H2)&lt;=0.025,C234,NA())</f>
        <v>#N/A</v>
      </c>
      <c r="G234" s="61" t="e">
        <f>IF(ISNUMBER(Ec_BE_G),IF(ABS($B234-Ec_BE_G)&lt;=0.025,Ec_A_G,NA()),NA())</f>
        <v>#N/A</v>
      </c>
      <c r="H234" s="61" t="e">
        <f>IF(ISNUMBER(Ec_BE_C),IF(ABS($B234-Ec_BE_C)&lt;=0.025,Ec_A_C,NA()),NA())</f>
        <v>#N/A</v>
      </c>
      <c r="I234" s="39">
        <f>IF(MOD(133,20)=0,TEXT($B234,"0"),"")</f>
        <v/>
      </c>
    </row>
    <row r="235" spans="2:9" ht="17" customHeight="1">
      <c r="B235" s="36">
        <v>6.7</v>
      </c>
      <c r="C235" s="61">
        <f>Ec_A_L+Ec_B_L*$B235</f>
        <v>1.82943970927056</v>
      </c>
      <c r="D235" s="61">
        <f>Ec_A_G</f>
        <v>1.0411380717848</v>
      </c>
      <c r="E235" s="61">
        <f>Ec_A_C</f>
        <v>1.22786480392051</v>
      </c>
      <c r="F235" s="61" t="e">
        <f>IF(ABS($B235-Ec_H2)&lt;=0.025,C235,NA())</f>
        <v>#N/A</v>
      </c>
      <c r="G235" s="61" t="e">
        <f>IF(ISNUMBER(Ec_BE_G),IF(ABS($B235-Ec_BE_G)&lt;=0.025,Ec_A_G,NA()),NA())</f>
        <v>#N/A</v>
      </c>
      <c r="H235" s="61" t="e">
        <f>IF(ISNUMBER(Ec_BE_C),IF(ABS($B235-Ec_BE_C)&lt;=0.025,Ec_A_C,NA()),NA())</f>
        <v>#N/A</v>
      </c>
      <c r="I235" s="39">
        <f>IF(MOD(134,20)=0,TEXT($B235,"0"),"")</f>
        <v/>
      </c>
    </row>
    <row r="236" spans="2:9" ht="17" customHeight="1">
      <c r="B236" s="36">
        <v>6.75</v>
      </c>
      <c r="C236" s="61">
        <f>Ec_A_L+Ec_B_L*$B236</f>
        <v>1.83343970927056</v>
      </c>
      <c r="D236" s="61">
        <f>Ec_A_G</f>
        <v>1.0411380717848</v>
      </c>
      <c r="E236" s="61">
        <f>Ec_A_C</f>
        <v>1.22786480392051</v>
      </c>
      <c r="F236" s="61" t="e">
        <f>IF(ABS($B236-Ec_H2)&lt;=0.025,C236,NA())</f>
        <v>#N/A</v>
      </c>
      <c r="G236" s="61" t="e">
        <f>IF(ISNUMBER(Ec_BE_G),IF(ABS($B236-Ec_BE_G)&lt;=0.025,Ec_A_G,NA()),NA())</f>
        <v>#N/A</v>
      </c>
      <c r="H236" s="61" t="e">
        <f>IF(ISNUMBER(Ec_BE_C),IF(ABS($B236-Ec_BE_C)&lt;=0.025,Ec_A_C,NA()),NA())</f>
        <v>#N/A</v>
      </c>
      <c r="I236" s="39">
        <f>IF(MOD(135,20)=0,TEXT($B236,"0"),"")</f>
        <v/>
      </c>
    </row>
    <row r="237" spans="2:9" ht="17" customHeight="1">
      <c r="B237" s="36">
        <v>6.8</v>
      </c>
      <c r="C237" s="61">
        <f>Ec_A_L+Ec_B_L*$B237</f>
        <v>1.83743970927056</v>
      </c>
      <c r="D237" s="61">
        <f>Ec_A_G</f>
        <v>1.0411380717848</v>
      </c>
      <c r="E237" s="61">
        <f>Ec_A_C</f>
        <v>1.22786480392051</v>
      </c>
      <c r="F237" s="61" t="e">
        <f>IF(ABS($B237-Ec_H2)&lt;=0.025,C237,NA())</f>
        <v>#N/A</v>
      </c>
      <c r="G237" s="61" t="e">
        <f>IF(ISNUMBER(Ec_BE_G),IF(ABS($B237-Ec_BE_G)&lt;=0.025,Ec_A_G,NA()),NA())</f>
        <v>#N/A</v>
      </c>
      <c r="H237" s="61" t="e">
        <f>IF(ISNUMBER(Ec_BE_C),IF(ABS($B237-Ec_BE_C)&lt;=0.025,Ec_A_C,NA()),NA())</f>
        <v>#N/A</v>
      </c>
      <c r="I237" s="39">
        <f>IF(MOD(136,20)=0,TEXT($B237,"0"),"")</f>
        <v/>
      </c>
    </row>
    <row r="238" spans="2:9" ht="17" customHeight="1">
      <c r="B238" s="36">
        <v>6.85</v>
      </c>
      <c r="C238" s="61">
        <f>Ec_A_L+Ec_B_L*$B238</f>
        <v>1.84143970927056</v>
      </c>
      <c r="D238" s="61">
        <f>Ec_A_G</f>
        <v>1.0411380717848</v>
      </c>
      <c r="E238" s="61">
        <f>Ec_A_C</f>
        <v>1.22786480392051</v>
      </c>
      <c r="F238" s="61" t="e">
        <f>IF(ABS($B238-Ec_H2)&lt;=0.025,C238,NA())</f>
        <v>#N/A</v>
      </c>
      <c r="G238" s="61" t="e">
        <f>IF(ISNUMBER(Ec_BE_G),IF(ABS($B238-Ec_BE_G)&lt;=0.025,Ec_A_G,NA()),NA())</f>
        <v>#N/A</v>
      </c>
      <c r="H238" s="61" t="e">
        <f>IF(ISNUMBER(Ec_BE_C),IF(ABS($B238-Ec_BE_C)&lt;=0.025,Ec_A_C,NA()),NA())</f>
        <v>#N/A</v>
      </c>
      <c r="I238" s="39">
        <f>IF(MOD(137,20)=0,TEXT($B238,"0"),"")</f>
        <v/>
      </c>
    </row>
    <row r="239" spans="2:9" ht="17" customHeight="1">
      <c r="B239" s="36">
        <v>6.9</v>
      </c>
      <c r="C239" s="61">
        <f>Ec_A_L+Ec_B_L*$B239</f>
        <v>1.84543970927056</v>
      </c>
      <c r="D239" s="61">
        <f>Ec_A_G</f>
        <v>1.0411380717848</v>
      </c>
      <c r="E239" s="61">
        <f>Ec_A_C</f>
        <v>1.22786480392051</v>
      </c>
      <c r="F239" s="61" t="e">
        <f>IF(ABS($B239-Ec_H2)&lt;=0.025,C239,NA())</f>
        <v>#N/A</v>
      </c>
      <c r="G239" s="61" t="e">
        <f>IF(ISNUMBER(Ec_BE_G),IF(ABS($B239-Ec_BE_G)&lt;=0.025,Ec_A_G,NA()),NA())</f>
        <v>#N/A</v>
      </c>
      <c r="H239" s="61" t="e">
        <f>IF(ISNUMBER(Ec_BE_C),IF(ABS($B239-Ec_BE_C)&lt;=0.025,Ec_A_C,NA()),NA())</f>
        <v>#N/A</v>
      </c>
      <c r="I239" s="39">
        <f>IF(MOD(138,20)=0,TEXT($B239,"0"),"")</f>
        <v/>
      </c>
    </row>
    <row r="240" spans="2:9" ht="17" customHeight="1">
      <c r="B240" s="36">
        <v>6.95</v>
      </c>
      <c r="C240" s="61">
        <f>Ec_A_L+Ec_B_L*$B240</f>
        <v>1.84943970927056</v>
      </c>
      <c r="D240" s="61">
        <f>Ec_A_G</f>
        <v>1.0411380717848</v>
      </c>
      <c r="E240" s="61">
        <f>Ec_A_C</f>
        <v>1.22786480392051</v>
      </c>
      <c r="F240" s="61" t="e">
        <f>IF(ABS($B240-Ec_H2)&lt;=0.025,C240,NA())</f>
        <v>#N/A</v>
      </c>
      <c r="G240" s="61" t="e">
        <f>IF(ISNUMBER(Ec_BE_G),IF(ABS($B240-Ec_BE_G)&lt;=0.025,Ec_A_G,NA()),NA())</f>
        <v>#N/A</v>
      </c>
      <c r="H240" s="61" t="e">
        <f>IF(ISNUMBER(Ec_BE_C),IF(ABS($B240-Ec_BE_C)&lt;=0.025,Ec_A_C,NA()),NA())</f>
        <v>#N/A</v>
      </c>
      <c r="I240" s="39">
        <f>IF(MOD(139,20)=0,TEXT($B240,"0"),"")</f>
        <v/>
      </c>
    </row>
    <row r="241" spans="2:9" ht="17" customHeight="1">
      <c r="B241" s="36">
        <v>7</v>
      </c>
      <c r="C241" s="61">
        <f>Ec_A_L+Ec_B_L*$B241</f>
        <v>1.85343970927056</v>
      </c>
      <c r="D241" s="61">
        <f>Ec_A_G</f>
        <v>1.0411380717848</v>
      </c>
      <c r="E241" s="61">
        <f>Ec_A_C</f>
        <v>1.22786480392051</v>
      </c>
      <c r="F241" s="61" t="e">
        <f>IF(ABS($B241-Ec_H2)&lt;=0.025,C241,NA())</f>
        <v>#N/A</v>
      </c>
      <c r="G241" s="61" t="e">
        <f>IF(ISNUMBER(Ec_BE_G),IF(ABS($B241-Ec_BE_G)&lt;=0.025,Ec_A_G,NA()),NA())</f>
        <v>#N/A</v>
      </c>
      <c r="H241" s="61" t="e">
        <f>IF(ISNUMBER(Ec_BE_C),IF(ABS($B241-Ec_BE_C)&lt;=0.025,Ec_A_C,NA()),NA())</f>
        <v>#N/A</v>
      </c>
      <c r="I241" s="39" t="str">
        <f>IF(MOD(140,20)=0,TEXT($B241,"0"),"")</f>
        <v>7</v>
      </c>
    </row>
    <row r="242" spans="2:9" ht="17" customHeight="1">
      <c r="B242" s="36">
        <v>7.05</v>
      </c>
      <c r="C242" s="61">
        <f>Ec_A_L+Ec_B_L*$B242</f>
        <v>1.85743970927056</v>
      </c>
      <c r="D242" s="61">
        <f>Ec_A_G</f>
        <v>1.0411380717848</v>
      </c>
      <c r="E242" s="61">
        <f>Ec_A_C</f>
        <v>1.22786480392051</v>
      </c>
      <c r="F242" s="61" t="e">
        <f>IF(ABS($B242-Ec_H2)&lt;=0.025,C242,NA())</f>
        <v>#N/A</v>
      </c>
      <c r="G242" s="61" t="e">
        <f>IF(ISNUMBER(Ec_BE_G),IF(ABS($B242-Ec_BE_G)&lt;=0.025,Ec_A_G,NA()),NA())</f>
        <v>#N/A</v>
      </c>
      <c r="H242" s="61" t="e">
        <f>IF(ISNUMBER(Ec_BE_C),IF(ABS($B242-Ec_BE_C)&lt;=0.025,Ec_A_C,NA()),NA())</f>
        <v>#N/A</v>
      </c>
      <c r="I242" s="39">
        <f>IF(MOD(141,20)=0,TEXT($B242,"0"),"")</f>
        <v/>
      </c>
    </row>
    <row r="243" spans="2:9" ht="17" customHeight="1">
      <c r="B243" s="36">
        <v>7.1</v>
      </c>
      <c r="C243" s="61">
        <f>Ec_A_L+Ec_B_L*$B243</f>
        <v>1.86143970927056</v>
      </c>
      <c r="D243" s="61">
        <f>Ec_A_G</f>
        <v>1.0411380717848</v>
      </c>
      <c r="E243" s="61">
        <f>Ec_A_C</f>
        <v>1.22786480392051</v>
      </c>
      <c r="F243" s="61" t="e">
        <f>IF(ABS($B243-Ec_H2)&lt;=0.025,C243,NA())</f>
        <v>#N/A</v>
      </c>
      <c r="G243" s="61" t="e">
        <f>IF(ISNUMBER(Ec_BE_G),IF(ABS($B243-Ec_BE_G)&lt;=0.025,Ec_A_G,NA()),NA())</f>
        <v>#N/A</v>
      </c>
      <c r="H243" s="61" t="e">
        <f>IF(ISNUMBER(Ec_BE_C),IF(ABS($B243-Ec_BE_C)&lt;=0.025,Ec_A_C,NA()),NA())</f>
        <v>#N/A</v>
      </c>
      <c r="I243" s="39">
        <f>IF(MOD(142,20)=0,TEXT($B243,"0"),"")</f>
        <v/>
      </c>
    </row>
    <row r="244" spans="2:9" ht="17" customHeight="1">
      <c r="B244" s="36">
        <v>7.15</v>
      </c>
      <c r="C244" s="61">
        <f>Ec_A_L+Ec_B_L*$B244</f>
        <v>1.86543970927056</v>
      </c>
      <c r="D244" s="61">
        <f>Ec_A_G</f>
        <v>1.0411380717848</v>
      </c>
      <c r="E244" s="61">
        <f>Ec_A_C</f>
        <v>1.22786480392051</v>
      </c>
      <c r="F244" s="61" t="e">
        <f>IF(ABS($B244-Ec_H2)&lt;=0.025,C244,NA())</f>
        <v>#N/A</v>
      </c>
      <c r="G244" s="61" t="e">
        <f>IF(ISNUMBER(Ec_BE_G),IF(ABS($B244-Ec_BE_G)&lt;=0.025,Ec_A_G,NA()),NA())</f>
        <v>#N/A</v>
      </c>
      <c r="H244" s="61" t="e">
        <f>IF(ISNUMBER(Ec_BE_C),IF(ABS($B244-Ec_BE_C)&lt;=0.025,Ec_A_C,NA()),NA())</f>
        <v>#N/A</v>
      </c>
      <c r="I244" s="39">
        <f>IF(MOD(143,20)=0,TEXT($B244,"0"),"")</f>
        <v/>
      </c>
    </row>
    <row r="245" spans="2:9" ht="17" customHeight="1">
      <c r="B245" s="36">
        <v>7.2</v>
      </c>
      <c r="C245" s="61">
        <f>Ec_A_L+Ec_B_L*$B245</f>
        <v>1.86943970927056</v>
      </c>
      <c r="D245" s="61">
        <f>Ec_A_G</f>
        <v>1.0411380717848</v>
      </c>
      <c r="E245" s="61">
        <f>Ec_A_C</f>
        <v>1.22786480392051</v>
      </c>
      <c r="F245" s="61" t="e">
        <f>IF(ABS($B245-Ec_H2)&lt;=0.025,C245,NA())</f>
        <v>#N/A</v>
      </c>
      <c r="G245" s="61" t="e">
        <f>IF(ISNUMBER(Ec_BE_G),IF(ABS($B245-Ec_BE_G)&lt;=0.025,Ec_A_G,NA()),NA())</f>
        <v>#N/A</v>
      </c>
      <c r="H245" s="61" t="e">
        <f>IF(ISNUMBER(Ec_BE_C),IF(ABS($B245-Ec_BE_C)&lt;=0.025,Ec_A_C,NA()),NA())</f>
        <v>#N/A</v>
      </c>
      <c r="I245" s="39">
        <f>IF(MOD(144,20)=0,TEXT($B245,"0"),"")</f>
        <v/>
      </c>
    </row>
    <row r="246" spans="2:9" ht="17" customHeight="1">
      <c r="B246" s="36">
        <v>7.25</v>
      </c>
      <c r="C246" s="61">
        <f>Ec_A_L+Ec_B_L*$B246</f>
        <v>1.87343970927056</v>
      </c>
      <c r="D246" s="61">
        <f>Ec_A_G</f>
        <v>1.0411380717848</v>
      </c>
      <c r="E246" s="61">
        <f>Ec_A_C</f>
        <v>1.22786480392051</v>
      </c>
      <c r="F246" s="61" t="e">
        <f>IF(ABS($B246-Ec_H2)&lt;=0.025,C246,NA())</f>
        <v>#N/A</v>
      </c>
      <c r="G246" s="61" t="e">
        <f>IF(ISNUMBER(Ec_BE_G),IF(ABS($B246-Ec_BE_G)&lt;=0.025,Ec_A_G,NA()),NA())</f>
        <v>#N/A</v>
      </c>
      <c r="H246" s="61" t="e">
        <f>IF(ISNUMBER(Ec_BE_C),IF(ABS($B246-Ec_BE_C)&lt;=0.025,Ec_A_C,NA()),NA())</f>
        <v>#N/A</v>
      </c>
      <c r="I246" s="39">
        <f>IF(MOD(145,20)=0,TEXT($B246,"0"),"")</f>
        <v/>
      </c>
    </row>
    <row r="247" spans="2:9" ht="17" customHeight="1">
      <c r="B247" s="36">
        <v>7.3</v>
      </c>
      <c r="C247" s="61">
        <f>Ec_A_L+Ec_B_L*$B247</f>
        <v>1.87743970927056</v>
      </c>
      <c r="D247" s="61">
        <f>Ec_A_G</f>
        <v>1.0411380717848</v>
      </c>
      <c r="E247" s="61">
        <f>Ec_A_C</f>
        <v>1.22786480392051</v>
      </c>
      <c r="F247" s="61" t="e">
        <f>IF(ABS($B247-Ec_H2)&lt;=0.025,C247,NA())</f>
        <v>#N/A</v>
      </c>
      <c r="G247" s="61" t="e">
        <f>IF(ISNUMBER(Ec_BE_G),IF(ABS($B247-Ec_BE_G)&lt;=0.025,Ec_A_G,NA()),NA())</f>
        <v>#N/A</v>
      </c>
      <c r="H247" s="61" t="e">
        <f>IF(ISNUMBER(Ec_BE_C),IF(ABS($B247-Ec_BE_C)&lt;=0.025,Ec_A_C,NA()),NA())</f>
        <v>#N/A</v>
      </c>
      <c r="I247" s="39">
        <f>IF(MOD(146,20)=0,TEXT($B247,"0"),"")</f>
        <v/>
      </c>
    </row>
    <row r="248" spans="2:9" ht="17" customHeight="1">
      <c r="B248" s="36">
        <v>7.35</v>
      </c>
      <c r="C248" s="61">
        <f>Ec_A_L+Ec_B_L*$B248</f>
        <v>1.88143970927056</v>
      </c>
      <c r="D248" s="61">
        <f>Ec_A_G</f>
        <v>1.0411380717848</v>
      </c>
      <c r="E248" s="61">
        <f>Ec_A_C</f>
        <v>1.22786480392051</v>
      </c>
      <c r="F248" s="61" t="e">
        <f>IF(ABS($B248-Ec_H2)&lt;=0.025,C248,NA())</f>
        <v>#N/A</v>
      </c>
      <c r="G248" s="61" t="e">
        <f>IF(ISNUMBER(Ec_BE_G),IF(ABS($B248-Ec_BE_G)&lt;=0.025,Ec_A_G,NA()),NA())</f>
        <v>#N/A</v>
      </c>
      <c r="H248" s="61" t="e">
        <f>IF(ISNUMBER(Ec_BE_C),IF(ABS($B248-Ec_BE_C)&lt;=0.025,Ec_A_C,NA()),NA())</f>
        <v>#N/A</v>
      </c>
      <c r="I248" s="39">
        <f>IF(MOD(147,20)=0,TEXT($B248,"0"),"")</f>
        <v/>
      </c>
    </row>
    <row r="249" spans="2:9" ht="17" customHeight="1">
      <c r="B249" s="36">
        <v>7.4</v>
      </c>
      <c r="C249" s="61">
        <f>Ec_A_L+Ec_B_L*$B249</f>
        <v>1.88543970927056</v>
      </c>
      <c r="D249" s="61">
        <f>Ec_A_G</f>
        <v>1.0411380717848</v>
      </c>
      <c r="E249" s="61">
        <f>Ec_A_C</f>
        <v>1.22786480392051</v>
      </c>
      <c r="F249" s="61" t="e">
        <f>IF(ABS($B249-Ec_H2)&lt;=0.025,C249,NA())</f>
        <v>#N/A</v>
      </c>
      <c r="G249" s="61" t="e">
        <f>IF(ISNUMBER(Ec_BE_G),IF(ABS($B249-Ec_BE_G)&lt;=0.025,Ec_A_G,NA()),NA())</f>
        <v>#N/A</v>
      </c>
      <c r="H249" s="61" t="e">
        <f>IF(ISNUMBER(Ec_BE_C),IF(ABS($B249-Ec_BE_C)&lt;=0.025,Ec_A_C,NA()),NA())</f>
        <v>#N/A</v>
      </c>
      <c r="I249" s="39">
        <f>IF(MOD(148,20)=0,TEXT($B249,"0"),"")</f>
        <v/>
      </c>
    </row>
    <row r="250" spans="2:9" ht="17" customHeight="1">
      <c r="B250" s="36">
        <v>7.45</v>
      </c>
      <c r="C250" s="61">
        <f>Ec_A_L+Ec_B_L*$B250</f>
        <v>1.88943970927056</v>
      </c>
      <c r="D250" s="61">
        <f>Ec_A_G</f>
        <v>1.0411380717848</v>
      </c>
      <c r="E250" s="61">
        <f>Ec_A_C</f>
        <v>1.22786480392051</v>
      </c>
      <c r="F250" s="61" t="e">
        <f>IF(ABS($B250-Ec_H2)&lt;=0.025,C250,NA())</f>
        <v>#N/A</v>
      </c>
      <c r="G250" s="61" t="e">
        <f>IF(ISNUMBER(Ec_BE_G),IF(ABS($B250-Ec_BE_G)&lt;=0.025,Ec_A_G,NA()),NA())</f>
        <v>#N/A</v>
      </c>
      <c r="H250" s="61" t="e">
        <f>IF(ISNUMBER(Ec_BE_C),IF(ABS($B250-Ec_BE_C)&lt;=0.025,Ec_A_C,NA()),NA())</f>
        <v>#N/A</v>
      </c>
      <c r="I250" s="39">
        <f>IF(MOD(149,20)=0,TEXT($B250,"0"),"")</f>
        <v/>
      </c>
    </row>
    <row r="251" spans="2:9" ht="17" customHeight="1">
      <c r="B251" s="36">
        <v>7.5</v>
      </c>
      <c r="C251" s="61">
        <f>Ec_A_L+Ec_B_L*$B251</f>
        <v>1.89343970927056</v>
      </c>
      <c r="D251" s="61">
        <f>Ec_A_G</f>
        <v>1.0411380717848</v>
      </c>
      <c r="E251" s="61">
        <f>Ec_A_C</f>
        <v>1.22786480392051</v>
      </c>
      <c r="F251" s="61" t="e">
        <f>IF(ABS($B251-Ec_H2)&lt;=0.025,C251,NA())</f>
        <v>#N/A</v>
      </c>
      <c r="G251" s="61" t="e">
        <f>IF(ISNUMBER(Ec_BE_G),IF(ABS($B251-Ec_BE_G)&lt;=0.025,Ec_A_G,NA()),NA())</f>
        <v>#N/A</v>
      </c>
      <c r="H251" s="61" t="e">
        <f>IF(ISNUMBER(Ec_BE_C),IF(ABS($B251-Ec_BE_C)&lt;=0.025,Ec_A_C,NA()),NA())</f>
        <v>#N/A</v>
      </c>
      <c r="I251" s="39">
        <f>IF(MOD(150,20)=0,TEXT($B251,"0"),"")</f>
        <v/>
      </c>
    </row>
    <row r="252" spans="2:9" ht="17" customHeight="1">
      <c r="B252" s="36">
        <v>7.55</v>
      </c>
      <c r="C252" s="61">
        <f>Ec_A_L+Ec_B_L*$B252</f>
        <v>1.89743970927056</v>
      </c>
      <c r="D252" s="61">
        <f>Ec_A_G</f>
        <v>1.0411380717848</v>
      </c>
      <c r="E252" s="61">
        <f>Ec_A_C</f>
        <v>1.22786480392051</v>
      </c>
      <c r="F252" s="61" t="e">
        <f>IF(ABS($B252-Ec_H2)&lt;=0.025,C252,NA())</f>
        <v>#N/A</v>
      </c>
      <c r="G252" s="61" t="e">
        <f>IF(ISNUMBER(Ec_BE_G),IF(ABS($B252-Ec_BE_G)&lt;=0.025,Ec_A_G,NA()),NA())</f>
        <v>#N/A</v>
      </c>
      <c r="H252" s="61" t="e">
        <f>IF(ISNUMBER(Ec_BE_C),IF(ABS($B252-Ec_BE_C)&lt;=0.025,Ec_A_C,NA()),NA())</f>
        <v>#N/A</v>
      </c>
      <c r="I252" s="39">
        <f>IF(MOD(151,20)=0,TEXT($B252,"0"),"")</f>
        <v/>
      </c>
    </row>
    <row r="253" spans="2:9" ht="17" customHeight="1">
      <c r="B253" s="36">
        <v>7.6</v>
      </c>
      <c r="C253" s="61">
        <f>Ec_A_L+Ec_B_L*$B253</f>
        <v>1.90143970927056</v>
      </c>
      <c r="D253" s="61">
        <f>Ec_A_G</f>
        <v>1.0411380717848</v>
      </c>
      <c r="E253" s="61">
        <f>Ec_A_C</f>
        <v>1.22786480392051</v>
      </c>
      <c r="F253" s="61" t="e">
        <f>IF(ABS($B253-Ec_H2)&lt;=0.025,C253,NA())</f>
        <v>#N/A</v>
      </c>
      <c r="G253" s="61" t="e">
        <f>IF(ISNUMBER(Ec_BE_G),IF(ABS($B253-Ec_BE_G)&lt;=0.025,Ec_A_G,NA()),NA())</f>
        <v>#N/A</v>
      </c>
      <c r="H253" s="61" t="e">
        <f>IF(ISNUMBER(Ec_BE_C),IF(ABS($B253-Ec_BE_C)&lt;=0.025,Ec_A_C,NA()),NA())</f>
        <v>#N/A</v>
      </c>
      <c r="I253" s="39">
        <f>IF(MOD(152,20)=0,TEXT($B253,"0"),"")</f>
        <v/>
      </c>
    </row>
    <row r="254" spans="2:9" ht="17" customHeight="1">
      <c r="B254" s="36">
        <v>7.65</v>
      </c>
      <c r="C254" s="61">
        <f>Ec_A_L+Ec_B_L*$B254</f>
        <v>1.90543970927056</v>
      </c>
      <c r="D254" s="61">
        <f>Ec_A_G</f>
        <v>1.0411380717848</v>
      </c>
      <c r="E254" s="61">
        <f>Ec_A_C</f>
        <v>1.22786480392051</v>
      </c>
      <c r="F254" s="61" t="e">
        <f>IF(ABS($B254-Ec_H2)&lt;=0.025,C254,NA())</f>
        <v>#N/A</v>
      </c>
      <c r="G254" s="61" t="e">
        <f>IF(ISNUMBER(Ec_BE_G),IF(ABS($B254-Ec_BE_G)&lt;=0.025,Ec_A_G,NA()),NA())</f>
        <v>#N/A</v>
      </c>
      <c r="H254" s="61" t="e">
        <f>IF(ISNUMBER(Ec_BE_C),IF(ABS($B254-Ec_BE_C)&lt;=0.025,Ec_A_C,NA()),NA())</f>
        <v>#N/A</v>
      </c>
      <c r="I254" s="39">
        <f>IF(MOD(153,20)=0,TEXT($B254,"0"),"")</f>
        <v/>
      </c>
    </row>
    <row r="255" spans="2:9" ht="17" customHeight="1">
      <c r="B255" s="36">
        <v>7.7</v>
      </c>
      <c r="C255" s="61">
        <f>Ec_A_L+Ec_B_L*$B255</f>
        <v>1.90943970927056</v>
      </c>
      <c r="D255" s="61">
        <f>Ec_A_G</f>
        <v>1.0411380717848</v>
      </c>
      <c r="E255" s="61">
        <f>Ec_A_C</f>
        <v>1.22786480392051</v>
      </c>
      <c r="F255" s="61" t="e">
        <f>IF(ABS($B255-Ec_H2)&lt;=0.025,C255,NA())</f>
        <v>#N/A</v>
      </c>
      <c r="G255" s="61" t="e">
        <f>IF(ISNUMBER(Ec_BE_G),IF(ABS($B255-Ec_BE_G)&lt;=0.025,Ec_A_G,NA()),NA())</f>
        <v>#N/A</v>
      </c>
      <c r="H255" s="61" t="e">
        <f>IF(ISNUMBER(Ec_BE_C),IF(ABS($B255-Ec_BE_C)&lt;=0.025,Ec_A_C,NA()),NA())</f>
        <v>#N/A</v>
      </c>
      <c r="I255" s="39">
        <f>IF(MOD(154,20)=0,TEXT($B255,"0"),"")</f>
        <v/>
      </c>
    </row>
    <row r="256" spans="2:9" ht="17" customHeight="1">
      <c r="B256" s="36">
        <v>7.75</v>
      </c>
      <c r="C256" s="61">
        <f>Ec_A_L+Ec_B_L*$B256</f>
        <v>1.91343970927056</v>
      </c>
      <c r="D256" s="61">
        <f>Ec_A_G</f>
        <v>1.0411380717848</v>
      </c>
      <c r="E256" s="61">
        <f>Ec_A_C</f>
        <v>1.22786480392051</v>
      </c>
      <c r="F256" s="61" t="e">
        <f>IF(ABS($B256-Ec_H2)&lt;=0.025,C256,NA())</f>
        <v>#N/A</v>
      </c>
      <c r="G256" s="61" t="e">
        <f>IF(ISNUMBER(Ec_BE_G),IF(ABS($B256-Ec_BE_G)&lt;=0.025,Ec_A_G,NA()),NA())</f>
        <v>#N/A</v>
      </c>
      <c r="H256" s="61" t="e">
        <f>IF(ISNUMBER(Ec_BE_C),IF(ABS($B256-Ec_BE_C)&lt;=0.025,Ec_A_C,NA()),NA())</f>
        <v>#N/A</v>
      </c>
      <c r="I256" s="39">
        <f>IF(MOD(155,20)=0,TEXT($B256,"0"),"")</f>
        <v/>
      </c>
    </row>
    <row r="257" spans="2:9" ht="17" customHeight="1">
      <c r="B257" s="36">
        <v>7.8</v>
      </c>
      <c r="C257" s="61">
        <f>Ec_A_L+Ec_B_L*$B257</f>
        <v>1.91743970927056</v>
      </c>
      <c r="D257" s="61">
        <f>Ec_A_G</f>
        <v>1.0411380717848</v>
      </c>
      <c r="E257" s="61">
        <f>Ec_A_C</f>
        <v>1.22786480392051</v>
      </c>
      <c r="F257" s="61" t="e">
        <f>IF(ABS($B257-Ec_H2)&lt;=0.025,C257,NA())</f>
        <v>#N/A</v>
      </c>
      <c r="G257" s="61" t="e">
        <f>IF(ISNUMBER(Ec_BE_G),IF(ABS($B257-Ec_BE_G)&lt;=0.025,Ec_A_G,NA()),NA())</f>
        <v>#N/A</v>
      </c>
      <c r="H257" s="61" t="e">
        <f>IF(ISNUMBER(Ec_BE_C),IF(ABS($B257-Ec_BE_C)&lt;=0.025,Ec_A_C,NA()),NA())</f>
        <v>#N/A</v>
      </c>
      <c r="I257" s="39">
        <f>IF(MOD(156,20)=0,TEXT($B257,"0"),"")</f>
        <v/>
      </c>
    </row>
    <row r="258" spans="2:9" ht="17" customHeight="1">
      <c r="B258" s="36">
        <v>7.85</v>
      </c>
      <c r="C258" s="61">
        <f>Ec_A_L+Ec_B_L*$B258</f>
        <v>1.92143970927056</v>
      </c>
      <c r="D258" s="61">
        <f>Ec_A_G</f>
        <v>1.0411380717848</v>
      </c>
      <c r="E258" s="61">
        <f>Ec_A_C</f>
        <v>1.22786480392051</v>
      </c>
      <c r="F258" s="61" t="e">
        <f>IF(ABS($B258-Ec_H2)&lt;=0.025,C258,NA())</f>
        <v>#N/A</v>
      </c>
      <c r="G258" s="61" t="e">
        <f>IF(ISNUMBER(Ec_BE_G),IF(ABS($B258-Ec_BE_G)&lt;=0.025,Ec_A_G,NA()),NA())</f>
        <v>#N/A</v>
      </c>
      <c r="H258" s="61" t="e">
        <f>IF(ISNUMBER(Ec_BE_C),IF(ABS($B258-Ec_BE_C)&lt;=0.025,Ec_A_C,NA()),NA())</f>
        <v>#N/A</v>
      </c>
      <c r="I258" s="39">
        <f>IF(MOD(157,20)=0,TEXT($B258,"0"),"")</f>
        <v/>
      </c>
    </row>
    <row r="259" spans="2:9" ht="17" customHeight="1">
      <c r="B259" s="36">
        <v>7.9</v>
      </c>
      <c r="C259" s="61">
        <f>Ec_A_L+Ec_B_L*$B259</f>
        <v>1.92543970927056</v>
      </c>
      <c r="D259" s="61">
        <f>Ec_A_G</f>
        <v>1.0411380717848</v>
      </c>
      <c r="E259" s="61">
        <f>Ec_A_C</f>
        <v>1.22786480392051</v>
      </c>
      <c r="F259" s="61" t="e">
        <f>IF(ABS($B259-Ec_H2)&lt;=0.025,C259,NA())</f>
        <v>#N/A</v>
      </c>
      <c r="G259" s="61" t="e">
        <f>IF(ISNUMBER(Ec_BE_G),IF(ABS($B259-Ec_BE_G)&lt;=0.025,Ec_A_G,NA()),NA())</f>
        <v>#N/A</v>
      </c>
      <c r="H259" s="61" t="e">
        <f>IF(ISNUMBER(Ec_BE_C),IF(ABS($B259-Ec_BE_C)&lt;=0.025,Ec_A_C,NA()),NA())</f>
        <v>#N/A</v>
      </c>
      <c r="I259" s="39">
        <f>IF(MOD(158,20)=0,TEXT($B259,"0"),"")</f>
        <v/>
      </c>
    </row>
    <row r="260" spans="2:9" ht="17" customHeight="1">
      <c r="B260" s="36">
        <v>7.95</v>
      </c>
      <c r="C260" s="61">
        <f>Ec_A_L+Ec_B_L*$B260</f>
        <v>1.92943970927056</v>
      </c>
      <c r="D260" s="61">
        <f>Ec_A_G</f>
        <v>1.0411380717848</v>
      </c>
      <c r="E260" s="61">
        <f>Ec_A_C</f>
        <v>1.22786480392051</v>
      </c>
      <c r="F260" s="61" t="e">
        <f>IF(ABS($B260-Ec_H2)&lt;=0.025,C260,NA())</f>
        <v>#N/A</v>
      </c>
      <c r="G260" s="61" t="e">
        <f>IF(ISNUMBER(Ec_BE_G),IF(ABS($B260-Ec_BE_G)&lt;=0.025,Ec_A_G,NA()),NA())</f>
        <v>#N/A</v>
      </c>
      <c r="H260" s="61" t="e">
        <f>IF(ISNUMBER(Ec_BE_C),IF(ABS($B260-Ec_BE_C)&lt;=0.025,Ec_A_C,NA()),NA())</f>
        <v>#N/A</v>
      </c>
      <c r="I260" s="39">
        <f>IF(MOD(159,20)=0,TEXT($B260,"0"),"")</f>
        <v/>
      </c>
    </row>
    <row r="261" spans="2:9" ht="17" customHeight="1">
      <c r="B261" s="36">
        <v>8</v>
      </c>
      <c r="C261" s="61">
        <f>Ec_A_L+Ec_B_L*$B261</f>
        <v>1.93343970927056</v>
      </c>
      <c r="D261" s="61">
        <f>Ec_A_G</f>
        <v>1.0411380717848</v>
      </c>
      <c r="E261" s="61">
        <f>Ec_A_C</f>
        <v>1.22786480392051</v>
      </c>
      <c r="F261" s="61" t="e">
        <f>IF(ABS($B261-Ec_H2)&lt;=0.025,C261,NA())</f>
        <v>#N/A</v>
      </c>
      <c r="G261" s="61" t="e">
        <f>IF(ISNUMBER(Ec_BE_G),IF(ABS($B261-Ec_BE_G)&lt;=0.025,Ec_A_G,NA()),NA())</f>
        <v>#N/A</v>
      </c>
      <c r="H261" s="61" t="e">
        <f>IF(ISNUMBER(Ec_BE_C),IF(ABS($B261-Ec_BE_C)&lt;=0.025,Ec_A_C,NA()),NA())</f>
        <v>#N/A</v>
      </c>
      <c r="I261" s="39" t="str">
        <f>IF(MOD(160,20)=0,TEXT($B261,"0"),"")</f>
        <v>8</v>
      </c>
    </row>
    <row r="262" spans="2:9" ht="17" customHeight="1">
      <c r="B262" s="36">
        <v>8.050000000000001</v>
      </c>
      <c r="C262" s="61">
        <f>Ec_A_L+Ec_B_L*$B262</f>
        <v>1.93743970927056</v>
      </c>
      <c r="D262" s="61">
        <f>Ec_A_G</f>
        <v>1.0411380717848</v>
      </c>
      <c r="E262" s="61">
        <f>Ec_A_C</f>
        <v>1.22786480392051</v>
      </c>
      <c r="F262" s="61" t="e">
        <f>IF(ABS($B262-Ec_H2)&lt;=0.025,C262,NA())</f>
        <v>#N/A</v>
      </c>
      <c r="G262" s="61" t="e">
        <f>IF(ISNUMBER(Ec_BE_G),IF(ABS($B262-Ec_BE_G)&lt;=0.025,Ec_A_G,NA()),NA())</f>
        <v>#N/A</v>
      </c>
      <c r="H262" s="61" t="e">
        <f>IF(ISNUMBER(Ec_BE_C),IF(ABS($B262-Ec_BE_C)&lt;=0.025,Ec_A_C,NA()),NA())</f>
        <v>#N/A</v>
      </c>
      <c r="I262" s="39">
        <f>IF(MOD(161,20)=0,TEXT($B262,"0"),"")</f>
        <v/>
      </c>
    </row>
    <row r="263" spans="2:9" ht="17" customHeight="1">
      <c r="B263" s="36">
        <v>8.1</v>
      </c>
      <c r="C263" s="61">
        <f>Ec_A_L+Ec_B_L*$B263</f>
        <v>1.94143970927056</v>
      </c>
      <c r="D263" s="61">
        <f>Ec_A_G</f>
        <v>1.0411380717848</v>
      </c>
      <c r="E263" s="61">
        <f>Ec_A_C</f>
        <v>1.22786480392051</v>
      </c>
      <c r="F263" s="61" t="e">
        <f>IF(ABS($B263-Ec_H2)&lt;=0.025,C263,NA())</f>
        <v>#N/A</v>
      </c>
      <c r="G263" s="61" t="e">
        <f>IF(ISNUMBER(Ec_BE_G),IF(ABS($B263-Ec_BE_G)&lt;=0.025,Ec_A_G,NA()),NA())</f>
        <v>#N/A</v>
      </c>
      <c r="H263" s="61" t="e">
        <f>IF(ISNUMBER(Ec_BE_C),IF(ABS($B263-Ec_BE_C)&lt;=0.025,Ec_A_C,NA()),NA())</f>
        <v>#N/A</v>
      </c>
      <c r="I263" s="39">
        <f>IF(MOD(162,20)=0,TEXT($B263,"0"),"")</f>
        <v/>
      </c>
    </row>
    <row r="264" spans="2:9" ht="17" customHeight="1">
      <c r="B264" s="36">
        <v>8.15</v>
      </c>
      <c r="C264" s="61">
        <f>Ec_A_L+Ec_B_L*$B264</f>
        <v>1.94543970927056</v>
      </c>
      <c r="D264" s="61">
        <f>Ec_A_G</f>
        <v>1.0411380717848</v>
      </c>
      <c r="E264" s="61">
        <f>Ec_A_C</f>
        <v>1.22786480392051</v>
      </c>
      <c r="F264" s="61" t="e">
        <f>IF(ABS($B264-Ec_H2)&lt;=0.025,C264,NA())</f>
        <v>#N/A</v>
      </c>
      <c r="G264" s="61" t="e">
        <f>IF(ISNUMBER(Ec_BE_G),IF(ABS($B264-Ec_BE_G)&lt;=0.025,Ec_A_G,NA()),NA())</f>
        <v>#N/A</v>
      </c>
      <c r="H264" s="61" t="e">
        <f>IF(ISNUMBER(Ec_BE_C),IF(ABS($B264-Ec_BE_C)&lt;=0.025,Ec_A_C,NA()),NA())</f>
        <v>#N/A</v>
      </c>
      <c r="I264" s="39">
        <f>IF(MOD(163,20)=0,TEXT($B264,"0"),"")</f>
        <v/>
      </c>
    </row>
    <row r="265" spans="2:9" ht="17" customHeight="1">
      <c r="B265" s="36">
        <v>8.199999999999999</v>
      </c>
      <c r="C265" s="61">
        <f>Ec_A_L+Ec_B_L*$B265</f>
        <v>1.94943970927056</v>
      </c>
      <c r="D265" s="61">
        <f>Ec_A_G</f>
        <v>1.0411380717848</v>
      </c>
      <c r="E265" s="61">
        <f>Ec_A_C</f>
        <v>1.22786480392051</v>
      </c>
      <c r="F265" s="61" t="e">
        <f>IF(ABS($B265-Ec_H2)&lt;=0.025,C265,NA())</f>
        <v>#N/A</v>
      </c>
      <c r="G265" s="61" t="e">
        <f>IF(ISNUMBER(Ec_BE_G),IF(ABS($B265-Ec_BE_G)&lt;=0.025,Ec_A_G,NA()),NA())</f>
        <v>#N/A</v>
      </c>
      <c r="H265" s="61" t="e">
        <f>IF(ISNUMBER(Ec_BE_C),IF(ABS($B265-Ec_BE_C)&lt;=0.025,Ec_A_C,NA()),NA())</f>
        <v>#N/A</v>
      </c>
      <c r="I265" s="39">
        <f>IF(MOD(164,20)=0,TEXT($B265,"0"),"")</f>
        <v/>
      </c>
    </row>
    <row r="266" spans="2:9" ht="17" customHeight="1">
      <c r="B266" s="36">
        <v>8.25</v>
      </c>
      <c r="C266" s="61">
        <f>Ec_A_L+Ec_B_L*$B266</f>
        <v>1.95343970927056</v>
      </c>
      <c r="D266" s="61">
        <f>Ec_A_G</f>
        <v>1.0411380717848</v>
      </c>
      <c r="E266" s="61">
        <f>Ec_A_C</f>
        <v>1.22786480392051</v>
      </c>
      <c r="F266" s="61" t="e">
        <f>IF(ABS($B266-Ec_H2)&lt;=0.025,C266,NA())</f>
        <v>#N/A</v>
      </c>
      <c r="G266" s="61" t="e">
        <f>IF(ISNUMBER(Ec_BE_G),IF(ABS($B266-Ec_BE_G)&lt;=0.025,Ec_A_G,NA()),NA())</f>
        <v>#N/A</v>
      </c>
      <c r="H266" s="61" t="e">
        <f>IF(ISNUMBER(Ec_BE_C),IF(ABS($B266-Ec_BE_C)&lt;=0.025,Ec_A_C,NA()),NA())</f>
        <v>#N/A</v>
      </c>
      <c r="I266" s="39">
        <f>IF(MOD(165,20)=0,TEXT($B266,"0"),"")</f>
        <v/>
      </c>
    </row>
    <row r="267" spans="2:9" ht="17" customHeight="1">
      <c r="B267" s="36">
        <v>8.300000000000001</v>
      </c>
      <c r="C267" s="61">
        <f>Ec_A_L+Ec_B_L*$B267</f>
        <v>1.95743970927056</v>
      </c>
      <c r="D267" s="61">
        <f>Ec_A_G</f>
        <v>1.0411380717848</v>
      </c>
      <c r="E267" s="61">
        <f>Ec_A_C</f>
        <v>1.22786480392051</v>
      </c>
      <c r="F267" s="61" t="e">
        <f>IF(ABS($B267-Ec_H2)&lt;=0.025,C267,NA())</f>
        <v>#N/A</v>
      </c>
      <c r="G267" s="61" t="e">
        <f>IF(ISNUMBER(Ec_BE_G),IF(ABS($B267-Ec_BE_G)&lt;=0.025,Ec_A_G,NA()),NA())</f>
        <v>#N/A</v>
      </c>
      <c r="H267" s="61" t="e">
        <f>IF(ISNUMBER(Ec_BE_C),IF(ABS($B267-Ec_BE_C)&lt;=0.025,Ec_A_C,NA()),NA())</f>
        <v>#N/A</v>
      </c>
      <c r="I267" s="39">
        <f>IF(MOD(166,20)=0,TEXT($B267,"0"),"")</f>
        <v/>
      </c>
    </row>
    <row r="268" spans="2:9" ht="17" customHeight="1">
      <c r="B268" s="36">
        <v>8.35</v>
      </c>
      <c r="C268" s="61">
        <f>Ec_A_L+Ec_B_L*$B268</f>
        <v>1.96143970927056</v>
      </c>
      <c r="D268" s="61">
        <f>Ec_A_G</f>
        <v>1.0411380717848</v>
      </c>
      <c r="E268" s="61">
        <f>Ec_A_C</f>
        <v>1.22786480392051</v>
      </c>
      <c r="F268" s="61" t="e">
        <f>IF(ABS($B268-Ec_H2)&lt;=0.025,C268,NA())</f>
        <v>#N/A</v>
      </c>
      <c r="G268" s="61" t="e">
        <f>IF(ISNUMBER(Ec_BE_G),IF(ABS($B268-Ec_BE_G)&lt;=0.025,Ec_A_G,NA()),NA())</f>
        <v>#N/A</v>
      </c>
      <c r="H268" s="61" t="e">
        <f>IF(ISNUMBER(Ec_BE_C),IF(ABS($B268-Ec_BE_C)&lt;=0.025,Ec_A_C,NA()),NA())</f>
        <v>#N/A</v>
      </c>
      <c r="I268" s="39">
        <f>IF(MOD(167,20)=0,TEXT($B268,"0"),"")</f>
        <v/>
      </c>
    </row>
    <row r="269" spans="2:9" ht="17" customHeight="1">
      <c r="B269" s="36">
        <v>8.4</v>
      </c>
      <c r="C269" s="61">
        <f>Ec_A_L+Ec_B_L*$B269</f>
        <v>1.96543970927056</v>
      </c>
      <c r="D269" s="61">
        <f>Ec_A_G</f>
        <v>1.0411380717848</v>
      </c>
      <c r="E269" s="61">
        <f>Ec_A_C</f>
        <v>1.22786480392051</v>
      </c>
      <c r="F269" s="61" t="e">
        <f>IF(ABS($B269-Ec_H2)&lt;=0.025,C269,NA())</f>
        <v>#N/A</v>
      </c>
      <c r="G269" s="61" t="e">
        <f>IF(ISNUMBER(Ec_BE_G),IF(ABS($B269-Ec_BE_G)&lt;=0.025,Ec_A_G,NA()),NA())</f>
        <v>#N/A</v>
      </c>
      <c r="H269" s="61" t="e">
        <f>IF(ISNUMBER(Ec_BE_C),IF(ABS($B269-Ec_BE_C)&lt;=0.025,Ec_A_C,NA()),NA())</f>
        <v>#N/A</v>
      </c>
      <c r="I269" s="39">
        <f>IF(MOD(168,20)=0,TEXT($B269,"0"),"")</f>
        <v/>
      </c>
    </row>
    <row r="270" spans="2:9" ht="17" customHeight="1">
      <c r="B270" s="36">
        <v>8.449999999999999</v>
      </c>
      <c r="C270" s="61">
        <f>Ec_A_L+Ec_B_L*$B270</f>
        <v>1.96943970927056</v>
      </c>
      <c r="D270" s="61">
        <f>Ec_A_G</f>
        <v>1.0411380717848</v>
      </c>
      <c r="E270" s="61">
        <f>Ec_A_C</f>
        <v>1.22786480392051</v>
      </c>
      <c r="F270" s="61" t="e">
        <f>IF(ABS($B270-Ec_H2)&lt;=0.025,C270,NA())</f>
        <v>#N/A</v>
      </c>
      <c r="G270" s="61" t="e">
        <f>IF(ISNUMBER(Ec_BE_G),IF(ABS($B270-Ec_BE_G)&lt;=0.025,Ec_A_G,NA()),NA())</f>
        <v>#N/A</v>
      </c>
      <c r="H270" s="61" t="e">
        <f>IF(ISNUMBER(Ec_BE_C),IF(ABS($B270-Ec_BE_C)&lt;=0.025,Ec_A_C,NA()),NA())</f>
        <v>#N/A</v>
      </c>
      <c r="I270" s="39">
        <f>IF(MOD(169,20)=0,TEXT($B270,"0"),"")</f>
        <v/>
      </c>
    </row>
    <row r="271" spans="2:9" ht="17" customHeight="1">
      <c r="B271" s="36">
        <v>8.5</v>
      </c>
      <c r="C271" s="61">
        <f>Ec_A_L+Ec_B_L*$B271</f>
        <v>1.97343970927056</v>
      </c>
      <c r="D271" s="61">
        <f>Ec_A_G</f>
        <v>1.0411380717848</v>
      </c>
      <c r="E271" s="61">
        <f>Ec_A_C</f>
        <v>1.22786480392051</v>
      </c>
      <c r="F271" s="61" t="e">
        <f>IF(ABS($B271-Ec_H2)&lt;=0.025,C271,NA())</f>
        <v>#N/A</v>
      </c>
      <c r="G271" s="61" t="e">
        <f>IF(ISNUMBER(Ec_BE_G),IF(ABS($B271-Ec_BE_G)&lt;=0.025,Ec_A_G,NA()),NA())</f>
        <v>#N/A</v>
      </c>
      <c r="H271" s="61" t="e">
        <f>IF(ISNUMBER(Ec_BE_C),IF(ABS($B271-Ec_BE_C)&lt;=0.025,Ec_A_C,NA()),NA())</f>
        <v>#N/A</v>
      </c>
      <c r="I271" s="39">
        <f>IF(MOD(170,20)=0,TEXT($B271,"0"),"")</f>
        <v/>
      </c>
    </row>
    <row r="272" spans="2:9" ht="17" customHeight="1">
      <c r="B272" s="36">
        <v>8.550000000000001</v>
      </c>
      <c r="C272" s="61">
        <f>Ec_A_L+Ec_B_L*$B272</f>
        <v>1.97743970927056</v>
      </c>
      <c r="D272" s="61">
        <f>Ec_A_G</f>
        <v>1.0411380717848</v>
      </c>
      <c r="E272" s="61">
        <f>Ec_A_C</f>
        <v>1.22786480392051</v>
      </c>
      <c r="F272" s="61" t="e">
        <f>IF(ABS($B272-Ec_H2)&lt;=0.025,C272,NA())</f>
        <v>#N/A</v>
      </c>
      <c r="G272" s="61" t="e">
        <f>IF(ISNUMBER(Ec_BE_G),IF(ABS($B272-Ec_BE_G)&lt;=0.025,Ec_A_G,NA()),NA())</f>
        <v>#N/A</v>
      </c>
      <c r="H272" s="61" t="e">
        <f>IF(ISNUMBER(Ec_BE_C),IF(ABS($B272-Ec_BE_C)&lt;=0.025,Ec_A_C,NA()),NA())</f>
        <v>#N/A</v>
      </c>
      <c r="I272" s="39">
        <f>IF(MOD(171,20)=0,TEXT($B272,"0"),"")</f>
        <v/>
      </c>
    </row>
    <row r="273" spans="2:9" ht="17" customHeight="1">
      <c r="B273" s="36">
        <v>8.6</v>
      </c>
      <c r="C273" s="61">
        <f>Ec_A_L+Ec_B_L*$B273</f>
        <v>1.98143970927056</v>
      </c>
      <c r="D273" s="61">
        <f>Ec_A_G</f>
        <v>1.0411380717848</v>
      </c>
      <c r="E273" s="61">
        <f>Ec_A_C</f>
        <v>1.22786480392051</v>
      </c>
      <c r="F273" s="61" t="e">
        <f>IF(ABS($B273-Ec_H2)&lt;=0.025,C273,NA())</f>
        <v>#N/A</v>
      </c>
      <c r="G273" s="61" t="e">
        <f>IF(ISNUMBER(Ec_BE_G),IF(ABS($B273-Ec_BE_G)&lt;=0.025,Ec_A_G,NA()),NA())</f>
        <v>#N/A</v>
      </c>
      <c r="H273" s="61" t="e">
        <f>IF(ISNUMBER(Ec_BE_C),IF(ABS($B273-Ec_BE_C)&lt;=0.025,Ec_A_C,NA()),NA())</f>
        <v>#N/A</v>
      </c>
      <c r="I273" s="39">
        <f>IF(MOD(172,20)=0,TEXT($B273,"0"),"")</f>
        <v/>
      </c>
    </row>
    <row r="274" spans="2:9" ht="17" customHeight="1">
      <c r="B274" s="36">
        <v>8.65</v>
      </c>
      <c r="C274" s="61">
        <f>Ec_A_L+Ec_B_L*$B274</f>
        <v>1.98543970927056</v>
      </c>
      <c r="D274" s="61">
        <f>Ec_A_G</f>
        <v>1.0411380717848</v>
      </c>
      <c r="E274" s="61">
        <f>Ec_A_C</f>
        <v>1.22786480392051</v>
      </c>
      <c r="F274" s="61" t="e">
        <f>IF(ABS($B274-Ec_H2)&lt;=0.025,C274,NA())</f>
        <v>#N/A</v>
      </c>
      <c r="G274" s="61" t="e">
        <f>IF(ISNUMBER(Ec_BE_G),IF(ABS($B274-Ec_BE_G)&lt;=0.025,Ec_A_G,NA()),NA())</f>
        <v>#N/A</v>
      </c>
      <c r="H274" s="61" t="e">
        <f>IF(ISNUMBER(Ec_BE_C),IF(ABS($B274-Ec_BE_C)&lt;=0.025,Ec_A_C,NA()),NA())</f>
        <v>#N/A</v>
      </c>
      <c r="I274" s="39">
        <f>IF(MOD(173,20)=0,TEXT($B274,"0"),"")</f>
        <v/>
      </c>
    </row>
    <row r="275" spans="2:9" ht="17" customHeight="1">
      <c r="B275" s="36">
        <v>8.699999999999999</v>
      </c>
      <c r="C275" s="61">
        <f>Ec_A_L+Ec_B_L*$B275</f>
        <v>1.98943970927056</v>
      </c>
      <c r="D275" s="61">
        <f>Ec_A_G</f>
        <v>1.0411380717848</v>
      </c>
      <c r="E275" s="61">
        <f>Ec_A_C</f>
        <v>1.22786480392051</v>
      </c>
      <c r="F275" s="61" t="e">
        <f>IF(ABS($B275-Ec_H2)&lt;=0.025,C275,NA())</f>
        <v>#N/A</v>
      </c>
      <c r="G275" s="61" t="e">
        <f>IF(ISNUMBER(Ec_BE_G),IF(ABS($B275-Ec_BE_G)&lt;=0.025,Ec_A_G,NA()),NA())</f>
        <v>#N/A</v>
      </c>
      <c r="H275" s="61" t="e">
        <f>IF(ISNUMBER(Ec_BE_C),IF(ABS($B275-Ec_BE_C)&lt;=0.025,Ec_A_C,NA()),NA())</f>
        <v>#N/A</v>
      </c>
      <c r="I275" s="39">
        <f>IF(MOD(174,20)=0,TEXT($B275,"0"),"")</f>
        <v/>
      </c>
    </row>
    <row r="276" spans="2:9" ht="17" customHeight="1">
      <c r="B276" s="36">
        <v>8.75</v>
      </c>
      <c r="C276" s="61">
        <f>Ec_A_L+Ec_B_L*$B276</f>
        <v>1.99343970927056</v>
      </c>
      <c r="D276" s="61">
        <f>Ec_A_G</f>
        <v>1.0411380717848</v>
      </c>
      <c r="E276" s="61">
        <f>Ec_A_C</f>
        <v>1.22786480392051</v>
      </c>
      <c r="F276" s="61" t="e">
        <f>IF(ABS($B276-Ec_H2)&lt;=0.025,C276,NA())</f>
        <v>#N/A</v>
      </c>
      <c r="G276" s="61" t="e">
        <f>IF(ISNUMBER(Ec_BE_G),IF(ABS($B276-Ec_BE_G)&lt;=0.025,Ec_A_G,NA()),NA())</f>
        <v>#N/A</v>
      </c>
      <c r="H276" s="61" t="e">
        <f>IF(ISNUMBER(Ec_BE_C),IF(ABS($B276-Ec_BE_C)&lt;=0.025,Ec_A_C,NA()),NA())</f>
        <v>#N/A</v>
      </c>
      <c r="I276" s="39">
        <f>IF(MOD(175,20)=0,TEXT($B276,"0"),"")</f>
        <v/>
      </c>
    </row>
    <row r="277" spans="2:9" ht="17" customHeight="1">
      <c r="B277" s="36">
        <v>8.800000000000001</v>
      </c>
      <c r="C277" s="61">
        <f>Ec_A_L+Ec_B_L*$B277</f>
        <v>1.99743970927056</v>
      </c>
      <c r="D277" s="61">
        <f>Ec_A_G</f>
        <v>1.0411380717848</v>
      </c>
      <c r="E277" s="61">
        <f>Ec_A_C</f>
        <v>1.22786480392051</v>
      </c>
      <c r="F277" s="61" t="e">
        <f>IF(ABS($B277-Ec_H2)&lt;=0.025,C277,NA())</f>
        <v>#N/A</v>
      </c>
      <c r="G277" s="61" t="e">
        <f>IF(ISNUMBER(Ec_BE_G),IF(ABS($B277-Ec_BE_G)&lt;=0.025,Ec_A_G,NA()),NA())</f>
        <v>#N/A</v>
      </c>
      <c r="H277" s="61" t="e">
        <f>IF(ISNUMBER(Ec_BE_C),IF(ABS($B277-Ec_BE_C)&lt;=0.025,Ec_A_C,NA()),NA())</f>
        <v>#N/A</v>
      </c>
      <c r="I277" s="39">
        <f>IF(MOD(176,20)=0,TEXT($B277,"0"),"")</f>
        <v/>
      </c>
    </row>
    <row r="278" spans="2:9" ht="17" customHeight="1">
      <c r="B278" s="36">
        <v>8.85</v>
      </c>
      <c r="C278" s="61">
        <f>Ec_A_L+Ec_B_L*$B278</f>
        <v>2.00143970927056</v>
      </c>
      <c r="D278" s="61">
        <f>Ec_A_G</f>
        <v>1.0411380717848</v>
      </c>
      <c r="E278" s="61">
        <f>Ec_A_C</f>
        <v>1.22786480392051</v>
      </c>
      <c r="F278" s="61" t="e">
        <f>IF(ABS($B278-Ec_H2)&lt;=0.025,C278,NA())</f>
        <v>#N/A</v>
      </c>
      <c r="G278" s="61" t="e">
        <f>IF(ISNUMBER(Ec_BE_G),IF(ABS($B278-Ec_BE_G)&lt;=0.025,Ec_A_G,NA()),NA())</f>
        <v>#N/A</v>
      </c>
      <c r="H278" s="61" t="e">
        <f>IF(ISNUMBER(Ec_BE_C),IF(ABS($B278-Ec_BE_C)&lt;=0.025,Ec_A_C,NA()),NA())</f>
        <v>#N/A</v>
      </c>
      <c r="I278" s="39">
        <f>IF(MOD(177,20)=0,TEXT($B278,"0"),"")</f>
        <v/>
      </c>
    </row>
    <row r="279" spans="2:9" ht="17" customHeight="1">
      <c r="B279" s="36">
        <v>8.9</v>
      </c>
      <c r="C279" s="61">
        <f>Ec_A_L+Ec_B_L*$B279</f>
        <v>2.00543970927056</v>
      </c>
      <c r="D279" s="61">
        <f>Ec_A_G</f>
        <v>1.0411380717848</v>
      </c>
      <c r="E279" s="61">
        <f>Ec_A_C</f>
        <v>1.22786480392051</v>
      </c>
      <c r="F279" s="61" t="e">
        <f>IF(ABS($B279-Ec_H2)&lt;=0.025,C279,NA())</f>
        <v>#N/A</v>
      </c>
      <c r="G279" s="61" t="e">
        <f>IF(ISNUMBER(Ec_BE_G),IF(ABS($B279-Ec_BE_G)&lt;=0.025,Ec_A_G,NA()),NA())</f>
        <v>#N/A</v>
      </c>
      <c r="H279" s="61" t="e">
        <f>IF(ISNUMBER(Ec_BE_C),IF(ABS($B279-Ec_BE_C)&lt;=0.025,Ec_A_C,NA()),NA())</f>
        <v>#N/A</v>
      </c>
      <c r="I279" s="39">
        <f>IF(MOD(178,20)=0,TEXT($B279,"0"),"")</f>
        <v/>
      </c>
    </row>
    <row r="280" spans="2:9" ht="17" customHeight="1">
      <c r="B280" s="36">
        <v>8.949999999999999</v>
      </c>
      <c r="C280" s="61">
        <f>Ec_A_L+Ec_B_L*$B280</f>
        <v>2.00943970927056</v>
      </c>
      <c r="D280" s="61">
        <f>Ec_A_G</f>
        <v>1.0411380717848</v>
      </c>
      <c r="E280" s="61">
        <f>Ec_A_C</f>
        <v>1.22786480392051</v>
      </c>
      <c r="F280" s="61" t="e">
        <f>IF(ABS($B280-Ec_H2)&lt;=0.025,C280,NA())</f>
        <v>#N/A</v>
      </c>
      <c r="G280" s="61" t="e">
        <f>IF(ISNUMBER(Ec_BE_G),IF(ABS($B280-Ec_BE_G)&lt;=0.025,Ec_A_G,NA()),NA())</f>
        <v>#N/A</v>
      </c>
      <c r="H280" s="61" t="e">
        <f>IF(ISNUMBER(Ec_BE_C),IF(ABS($B280-Ec_BE_C)&lt;=0.025,Ec_A_C,NA()),NA())</f>
        <v>#N/A</v>
      </c>
      <c r="I280" s="39">
        <f>IF(MOD(179,20)=0,TEXT($B280,"0"),"")</f>
        <v/>
      </c>
    </row>
    <row r="281" spans="2:9" ht="17" customHeight="1">
      <c r="B281" s="36">
        <v>9</v>
      </c>
      <c r="C281" s="61">
        <f>Ec_A_L+Ec_B_L*$B281</f>
        <v>2.01343970927056</v>
      </c>
      <c r="D281" s="61">
        <f>Ec_A_G</f>
        <v>1.0411380717848</v>
      </c>
      <c r="E281" s="61">
        <f>Ec_A_C</f>
        <v>1.22786480392051</v>
      </c>
      <c r="F281" s="61" t="e">
        <f>IF(ABS($B281-Ec_H2)&lt;=0.025,C281,NA())</f>
        <v>#N/A</v>
      </c>
      <c r="G281" s="61" t="e">
        <f>IF(ISNUMBER(Ec_BE_G),IF(ABS($B281-Ec_BE_G)&lt;=0.025,Ec_A_G,NA()),NA())</f>
        <v>#N/A</v>
      </c>
      <c r="H281" s="61" t="e">
        <f>IF(ISNUMBER(Ec_BE_C),IF(ABS($B281-Ec_BE_C)&lt;=0.025,Ec_A_C,NA()),NA())</f>
        <v>#N/A</v>
      </c>
      <c r="I281" s="39" t="str">
        <f>IF(MOD(180,20)=0,TEXT($B281,"0"),"")</f>
        <v>9</v>
      </c>
    </row>
    <row r="282" spans="2:9" ht="17" customHeight="1">
      <c r="B282" s="36">
        <v>9.050000000000001</v>
      </c>
      <c r="C282" s="61">
        <f>Ec_A_L+Ec_B_L*$B282</f>
        <v>2.01743970927056</v>
      </c>
      <c r="D282" s="61">
        <f>Ec_A_G</f>
        <v>1.0411380717848</v>
      </c>
      <c r="E282" s="61">
        <f>Ec_A_C</f>
        <v>1.22786480392051</v>
      </c>
      <c r="F282" s="61" t="e">
        <f>IF(ABS($B282-Ec_H2)&lt;=0.025,C282,NA())</f>
        <v>#N/A</v>
      </c>
      <c r="G282" s="61" t="e">
        <f>IF(ISNUMBER(Ec_BE_G),IF(ABS($B282-Ec_BE_G)&lt;=0.025,Ec_A_G,NA()),NA())</f>
        <v>#N/A</v>
      </c>
      <c r="H282" s="61" t="e">
        <f>IF(ISNUMBER(Ec_BE_C),IF(ABS($B282-Ec_BE_C)&lt;=0.025,Ec_A_C,NA()),NA())</f>
        <v>#N/A</v>
      </c>
      <c r="I282" s="39">
        <f>IF(MOD(181,20)=0,TEXT($B282,"0"),"")</f>
        <v/>
      </c>
    </row>
    <row r="283" spans="2:9" ht="17" customHeight="1">
      <c r="B283" s="36">
        <v>9.1</v>
      </c>
      <c r="C283" s="61">
        <f>Ec_A_L+Ec_B_L*$B283</f>
        <v>2.02143970927056</v>
      </c>
      <c r="D283" s="61">
        <f>Ec_A_G</f>
        <v>1.0411380717848</v>
      </c>
      <c r="E283" s="61">
        <f>Ec_A_C</f>
        <v>1.22786480392051</v>
      </c>
      <c r="F283" s="61" t="e">
        <f>IF(ABS($B283-Ec_H2)&lt;=0.025,C283,NA())</f>
        <v>#N/A</v>
      </c>
      <c r="G283" s="61" t="e">
        <f>IF(ISNUMBER(Ec_BE_G),IF(ABS($B283-Ec_BE_G)&lt;=0.025,Ec_A_G,NA()),NA())</f>
        <v>#N/A</v>
      </c>
      <c r="H283" s="61" t="e">
        <f>IF(ISNUMBER(Ec_BE_C),IF(ABS($B283-Ec_BE_C)&lt;=0.025,Ec_A_C,NA()),NA())</f>
        <v>#N/A</v>
      </c>
      <c r="I283" s="39">
        <f>IF(MOD(182,20)=0,TEXT($B283,"0"),"")</f>
        <v/>
      </c>
    </row>
    <row r="284" spans="2:9" ht="17" customHeight="1">
      <c r="B284" s="36">
        <v>9.15</v>
      </c>
      <c r="C284" s="61">
        <f>Ec_A_L+Ec_B_L*$B284</f>
        <v>2.02543970927056</v>
      </c>
      <c r="D284" s="61">
        <f>Ec_A_G</f>
        <v>1.0411380717848</v>
      </c>
      <c r="E284" s="61">
        <f>Ec_A_C</f>
        <v>1.22786480392051</v>
      </c>
      <c r="F284" s="61" t="e">
        <f>IF(ABS($B284-Ec_H2)&lt;=0.025,C284,NA())</f>
        <v>#N/A</v>
      </c>
      <c r="G284" s="61" t="e">
        <f>IF(ISNUMBER(Ec_BE_G),IF(ABS($B284-Ec_BE_G)&lt;=0.025,Ec_A_G,NA()),NA())</f>
        <v>#N/A</v>
      </c>
      <c r="H284" s="61" t="e">
        <f>IF(ISNUMBER(Ec_BE_C),IF(ABS($B284-Ec_BE_C)&lt;=0.025,Ec_A_C,NA()),NA())</f>
        <v>#N/A</v>
      </c>
      <c r="I284" s="39">
        <f>IF(MOD(183,20)=0,TEXT($B284,"0"),"")</f>
        <v/>
      </c>
    </row>
    <row r="285" spans="2:9" ht="17" customHeight="1">
      <c r="B285" s="36">
        <v>9.199999999999999</v>
      </c>
      <c r="C285" s="61">
        <f>Ec_A_L+Ec_B_L*$B285</f>
        <v>2.02943970927056</v>
      </c>
      <c r="D285" s="61">
        <f>Ec_A_G</f>
        <v>1.0411380717848</v>
      </c>
      <c r="E285" s="61">
        <f>Ec_A_C</f>
        <v>1.22786480392051</v>
      </c>
      <c r="F285" s="61" t="e">
        <f>IF(ABS($B285-Ec_H2)&lt;=0.025,C285,NA())</f>
        <v>#N/A</v>
      </c>
      <c r="G285" s="61" t="e">
        <f>IF(ISNUMBER(Ec_BE_G),IF(ABS($B285-Ec_BE_G)&lt;=0.025,Ec_A_G,NA()),NA())</f>
        <v>#N/A</v>
      </c>
      <c r="H285" s="61" t="e">
        <f>IF(ISNUMBER(Ec_BE_C),IF(ABS($B285-Ec_BE_C)&lt;=0.025,Ec_A_C,NA()),NA())</f>
        <v>#N/A</v>
      </c>
      <c r="I285" s="39">
        <f>IF(MOD(184,20)=0,TEXT($B285,"0"),"")</f>
        <v/>
      </c>
    </row>
    <row r="286" spans="2:9" ht="17" customHeight="1">
      <c r="B286" s="36">
        <v>9.25</v>
      </c>
      <c r="C286" s="61">
        <f>Ec_A_L+Ec_B_L*$B286</f>
        <v>2.03343970927056</v>
      </c>
      <c r="D286" s="61">
        <f>Ec_A_G</f>
        <v>1.0411380717848</v>
      </c>
      <c r="E286" s="61">
        <f>Ec_A_C</f>
        <v>1.22786480392051</v>
      </c>
      <c r="F286" s="61" t="e">
        <f>IF(ABS($B286-Ec_H2)&lt;=0.025,C286,NA())</f>
        <v>#N/A</v>
      </c>
      <c r="G286" s="61" t="e">
        <f>IF(ISNUMBER(Ec_BE_G),IF(ABS($B286-Ec_BE_G)&lt;=0.025,Ec_A_G,NA()),NA())</f>
        <v>#N/A</v>
      </c>
      <c r="H286" s="61" t="e">
        <f>IF(ISNUMBER(Ec_BE_C),IF(ABS($B286-Ec_BE_C)&lt;=0.025,Ec_A_C,NA()),NA())</f>
        <v>#N/A</v>
      </c>
      <c r="I286" s="39">
        <f>IF(MOD(185,20)=0,TEXT($B286,"0"),"")</f>
        <v/>
      </c>
    </row>
    <row r="287" spans="2:9" ht="17" customHeight="1">
      <c r="B287" s="36">
        <v>9.300000000000001</v>
      </c>
      <c r="C287" s="61">
        <f>Ec_A_L+Ec_B_L*$B287</f>
        <v>2.03743970927056</v>
      </c>
      <c r="D287" s="61">
        <f>Ec_A_G</f>
        <v>1.0411380717848</v>
      </c>
      <c r="E287" s="61">
        <f>Ec_A_C</f>
        <v>1.22786480392051</v>
      </c>
      <c r="F287" s="61" t="e">
        <f>IF(ABS($B287-Ec_H2)&lt;=0.025,C287,NA())</f>
        <v>#N/A</v>
      </c>
      <c r="G287" s="61" t="e">
        <f>IF(ISNUMBER(Ec_BE_G),IF(ABS($B287-Ec_BE_G)&lt;=0.025,Ec_A_G,NA()),NA())</f>
        <v>#N/A</v>
      </c>
      <c r="H287" s="61" t="e">
        <f>IF(ISNUMBER(Ec_BE_C),IF(ABS($B287-Ec_BE_C)&lt;=0.025,Ec_A_C,NA()),NA())</f>
        <v>#N/A</v>
      </c>
      <c r="I287" s="39">
        <f>IF(MOD(186,20)=0,TEXT($B287,"0"),"")</f>
        <v/>
      </c>
    </row>
    <row r="288" spans="2:9" ht="17" customHeight="1">
      <c r="B288" s="36">
        <v>9.35</v>
      </c>
      <c r="C288" s="61">
        <f>Ec_A_L+Ec_B_L*$B288</f>
        <v>2.04143970927056</v>
      </c>
      <c r="D288" s="61">
        <f>Ec_A_G</f>
        <v>1.0411380717848</v>
      </c>
      <c r="E288" s="61">
        <f>Ec_A_C</f>
        <v>1.22786480392051</v>
      </c>
      <c r="F288" s="61" t="e">
        <f>IF(ABS($B288-Ec_H2)&lt;=0.025,C288,NA())</f>
        <v>#N/A</v>
      </c>
      <c r="G288" s="61" t="e">
        <f>IF(ISNUMBER(Ec_BE_G),IF(ABS($B288-Ec_BE_G)&lt;=0.025,Ec_A_G,NA()),NA())</f>
        <v>#N/A</v>
      </c>
      <c r="H288" s="61" t="e">
        <f>IF(ISNUMBER(Ec_BE_C),IF(ABS($B288-Ec_BE_C)&lt;=0.025,Ec_A_C,NA()),NA())</f>
        <v>#N/A</v>
      </c>
      <c r="I288" s="39">
        <f>IF(MOD(187,20)=0,TEXT($B288,"0"),"")</f>
        <v/>
      </c>
    </row>
    <row r="289" spans="2:15" ht="17" customHeight="1">
      <c r="B289" s="36">
        <v>9.4</v>
      </c>
      <c r="C289" s="61">
        <f>Ec_A_L+Ec_B_L*$B289</f>
        <v>2.04543970927056</v>
      </c>
      <c r="D289" s="61">
        <f>Ec_A_G</f>
        <v>1.0411380717848</v>
      </c>
      <c r="E289" s="61">
        <f>Ec_A_C</f>
        <v>1.22786480392051</v>
      </c>
      <c r="F289" s="61" t="e">
        <f>IF(ABS($B289-Ec_H2)&lt;=0.025,C289,NA())</f>
        <v>#N/A</v>
      </c>
      <c r="G289" s="61" t="e">
        <f>IF(ISNUMBER(Ec_BE_G),IF(ABS($B289-Ec_BE_G)&lt;=0.025,Ec_A_G,NA()),NA())</f>
        <v>#N/A</v>
      </c>
      <c r="H289" s="61" t="e">
        <f>IF(ISNUMBER(Ec_BE_C),IF(ABS($B289-Ec_BE_C)&lt;=0.025,Ec_A_C,NA()),NA())</f>
        <v>#N/A</v>
      </c>
      <c r="I289" s="39">
        <f>IF(MOD(188,20)=0,TEXT($B289,"0"),"")</f>
        <v/>
      </c>
    </row>
    <row r="290" spans="2:15" ht="17" customHeight="1">
      <c r="B290" s="36">
        <v>9.449999999999999</v>
      </c>
      <c r="C290" s="61">
        <f>Ec_A_L+Ec_B_L*$B290</f>
        <v>2.04943970927056</v>
      </c>
      <c r="D290" s="61">
        <f>Ec_A_G</f>
        <v>1.0411380717848</v>
      </c>
      <c r="E290" s="61">
        <f>Ec_A_C</f>
        <v>1.22786480392051</v>
      </c>
      <c r="F290" s="61" t="e">
        <f>IF(ABS($B290-Ec_H2)&lt;=0.025,C290,NA())</f>
        <v>#N/A</v>
      </c>
      <c r="G290" s="61" t="e">
        <f>IF(ISNUMBER(Ec_BE_G),IF(ABS($B290-Ec_BE_G)&lt;=0.025,Ec_A_G,NA()),NA())</f>
        <v>#N/A</v>
      </c>
      <c r="H290" s="61" t="e">
        <f>IF(ISNUMBER(Ec_BE_C),IF(ABS($B290-Ec_BE_C)&lt;=0.025,Ec_A_C,NA()),NA())</f>
        <v>#N/A</v>
      </c>
      <c r="I290" s="39">
        <f>IF(MOD(189,20)=0,TEXT($B290,"0"),"")</f>
        <v/>
      </c>
    </row>
    <row r="291" spans="2:15" ht="17" customHeight="1">
      <c r="B291" s="36">
        <v>9.5</v>
      </c>
      <c r="C291" s="61">
        <f>Ec_A_L+Ec_B_L*$B291</f>
        <v>2.05343970927056</v>
      </c>
      <c r="D291" s="61">
        <f>Ec_A_G</f>
        <v>1.0411380717848</v>
      </c>
      <c r="E291" s="61">
        <f>Ec_A_C</f>
        <v>1.22786480392051</v>
      </c>
      <c r="F291" s="61" t="e">
        <f>IF(ABS($B291-Ec_H2)&lt;=0.025,C291,NA())</f>
        <v>#N/A</v>
      </c>
      <c r="G291" s="61" t="e">
        <f>IF(ISNUMBER(Ec_BE_G),IF(ABS($B291-Ec_BE_G)&lt;=0.025,Ec_A_G,NA()),NA())</f>
        <v>#N/A</v>
      </c>
      <c r="H291" s="61" t="e">
        <f>IF(ISNUMBER(Ec_BE_C),IF(ABS($B291-Ec_BE_C)&lt;=0.025,Ec_A_C,NA()),NA())</f>
        <v>#N/A</v>
      </c>
      <c r="I291" s="39">
        <f>IF(MOD(190,20)=0,TEXT($B291,"0"),"")</f>
        <v/>
      </c>
    </row>
    <row r="292" spans="2:15" ht="17" customHeight="1">
      <c r="B292" s="36">
        <v>9.550000000000001</v>
      </c>
      <c r="C292" s="61">
        <f>Ec_A_L+Ec_B_L*$B292</f>
        <v>2.05743970927056</v>
      </c>
      <c r="D292" s="61">
        <f>Ec_A_G</f>
        <v>1.0411380717848</v>
      </c>
      <c r="E292" s="61">
        <f>Ec_A_C</f>
        <v>1.22786480392051</v>
      </c>
      <c r="F292" s="61" t="e">
        <f>IF(ABS($B292-Ec_H2)&lt;=0.025,C292,NA())</f>
        <v>#N/A</v>
      </c>
      <c r="G292" s="61" t="e">
        <f>IF(ISNUMBER(Ec_BE_G),IF(ABS($B292-Ec_BE_G)&lt;=0.025,Ec_A_G,NA()),NA())</f>
        <v>#N/A</v>
      </c>
      <c r="H292" s="61" t="e">
        <f>IF(ISNUMBER(Ec_BE_C),IF(ABS($B292-Ec_BE_C)&lt;=0.025,Ec_A_C,NA()),NA())</f>
        <v>#N/A</v>
      </c>
      <c r="I292" s="39">
        <f>IF(MOD(191,20)=0,TEXT($B292,"0"),"")</f>
        <v/>
      </c>
    </row>
    <row r="293" spans="2:15" ht="17" customHeight="1">
      <c r="B293" s="36">
        <v>9.6</v>
      </c>
      <c r="C293" s="61">
        <f>Ec_A_L+Ec_B_L*$B293</f>
        <v>2.06143970927056</v>
      </c>
      <c r="D293" s="61">
        <f>Ec_A_G</f>
        <v>1.0411380717848</v>
      </c>
      <c r="E293" s="61">
        <f>Ec_A_C</f>
        <v>1.22786480392051</v>
      </c>
      <c r="F293" s="61" t="e">
        <f>IF(ABS($B293-Ec_H2)&lt;=0.025,C293,NA())</f>
        <v>#N/A</v>
      </c>
      <c r="G293" s="61" t="e">
        <f>IF(ISNUMBER(Ec_BE_G),IF(ABS($B293-Ec_BE_G)&lt;=0.025,Ec_A_G,NA()),NA())</f>
        <v>#N/A</v>
      </c>
      <c r="H293" s="61" t="e">
        <f>IF(ISNUMBER(Ec_BE_C),IF(ABS($B293-Ec_BE_C)&lt;=0.025,Ec_A_C,NA()),NA())</f>
        <v>#N/A</v>
      </c>
      <c r="I293" s="39">
        <f>IF(MOD(192,20)=0,TEXT($B293,"0"),"")</f>
        <v/>
      </c>
    </row>
    <row r="294" spans="2:15" ht="17" customHeight="1">
      <c r="B294" s="36">
        <v>9.65</v>
      </c>
      <c r="C294" s="61">
        <f>Ec_A_L+Ec_B_L*$B294</f>
        <v>2.06543970927056</v>
      </c>
      <c r="D294" s="61">
        <f>Ec_A_G</f>
        <v>1.0411380717848</v>
      </c>
      <c r="E294" s="61">
        <f>Ec_A_C</f>
        <v>1.22786480392051</v>
      </c>
      <c r="F294" s="61" t="e">
        <f>IF(ABS($B294-Ec_H2)&lt;=0.025,C294,NA())</f>
        <v>#N/A</v>
      </c>
      <c r="G294" s="61" t="e">
        <f>IF(ISNUMBER(Ec_BE_G),IF(ABS($B294-Ec_BE_G)&lt;=0.025,Ec_A_G,NA()),NA())</f>
        <v>#N/A</v>
      </c>
      <c r="H294" s="61" t="e">
        <f>IF(ISNUMBER(Ec_BE_C),IF(ABS($B294-Ec_BE_C)&lt;=0.025,Ec_A_C,NA()),NA())</f>
        <v>#N/A</v>
      </c>
      <c r="I294" s="39">
        <f>IF(MOD(193,20)=0,TEXT($B294,"0"),"")</f>
        <v/>
      </c>
    </row>
    <row r="295" spans="2:15" ht="17" customHeight="1">
      <c r="B295" s="36">
        <v>9.699999999999999</v>
      </c>
      <c r="C295" s="61">
        <f>Ec_A_L+Ec_B_L*$B295</f>
        <v>2.06943970927056</v>
      </c>
      <c r="D295" s="61">
        <f>Ec_A_G</f>
        <v>1.0411380717848</v>
      </c>
      <c r="E295" s="61">
        <f>Ec_A_C</f>
        <v>1.22786480392051</v>
      </c>
      <c r="F295" s="61" t="e">
        <f>IF(ABS($B295-Ec_H2)&lt;=0.025,C295,NA())</f>
        <v>#N/A</v>
      </c>
      <c r="G295" s="61" t="e">
        <f>IF(ISNUMBER(Ec_BE_G),IF(ABS($B295-Ec_BE_G)&lt;=0.025,Ec_A_G,NA()),NA())</f>
        <v>#N/A</v>
      </c>
      <c r="H295" s="61" t="e">
        <f>IF(ISNUMBER(Ec_BE_C),IF(ABS($B295-Ec_BE_C)&lt;=0.025,Ec_A_C,NA()),NA())</f>
        <v>#N/A</v>
      </c>
      <c r="I295" s="39">
        <f>IF(MOD(194,20)=0,TEXT($B295,"0"),"")</f>
        <v/>
      </c>
    </row>
    <row r="296" spans="2:15" ht="17" customHeight="1">
      <c r="B296" s="36">
        <v>9.75</v>
      </c>
      <c r="C296" s="61">
        <f>Ec_A_L+Ec_B_L*$B296</f>
        <v>2.07343970927056</v>
      </c>
      <c r="D296" s="61">
        <f>Ec_A_G</f>
        <v>1.0411380717848</v>
      </c>
      <c r="E296" s="61">
        <f>Ec_A_C</f>
        <v>1.22786480392051</v>
      </c>
      <c r="F296" s="61" t="e">
        <f>IF(ABS($B296-Ec_H2)&lt;=0.025,C296,NA())</f>
        <v>#N/A</v>
      </c>
      <c r="G296" s="61" t="e">
        <f>IF(ISNUMBER(Ec_BE_G),IF(ABS($B296-Ec_BE_G)&lt;=0.025,Ec_A_G,NA()),NA())</f>
        <v>#N/A</v>
      </c>
      <c r="H296" s="61" t="e">
        <f>IF(ISNUMBER(Ec_BE_C),IF(ABS($B296-Ec_BE_C)&lt;=0.025,Ec_A_C,NA()),NA())</f>
        <v>#N/A</v>
      </c>
      <c r="I296" s="39">
        <f>IF(MOD(195,20)=0,TEXT($B296,"0"),"")</f>
        <v/>
      </c>
    </row>
    <row r="297" spans="2:15" ht="17" customHeight="1">
      <c r="B297" s="36">
        <v>9.800000000000001</v>
      </c>
      <c r="C297" s="61">
        <f>Ec_A_L+Ec_B_L*$B297</f>
        <v>2.07743970927056</v>
      </c>
      <c r="D297" s="61">
        <f>Ec_A_G</f>
        <v>1.0411380717848</v>
      </c>
      <c r="E297" s="61">
        <f>Ec_A_C</f>
        <v>1.22786480392051</v>
      </c>
      <c r="F297" s="61" t="e">
        <f>IF(ABS($B297-Ec_H2)&lt;=0.025,C297,NA())</f>
        <v>#N/A</v>
      </c>
      <c r="G297" s="61" t="e">
        <f>IF(ISNUMBER(Ec_BE_G),IF(ABS($B297-Ec_BE_G)&lt;=0.025,Ec_A_G,NA()),NA())</f>
        <v>#N/A</v>
      </c>
      <c r="H297" s="61" t="e">
        <f>IF(ISNUMBER(Ec_BE_C),IF(ABS($B297-Ec_BE_C)&lt;=0.025,Ec_A_C,NA()),NA())</f>
        <v>#N/A</v>
      </c>
      <c r="I297" s="39">
        <f>IF(MOD(196,20)=0,TEXT($B297,"0"),"")</f>
        <v/>
      </c>
    </row>
    <row r="298" spans="2:15" ht="17" customHeight="1">
      <c r="B298" s="36">
        <v>9.85</v>
      </c>
      <c r="C298" s="61">
        <f>Ec_A_L+Ec_B_L*$B298</f>
        <v>2.08143970927056</v>
      </c>
      <c r="D298" s="61">
        <f>Ec_A_G</f>
        <v>1.0411380717848</v>
      </c>
      <c r="E298" s="61">
        <f>Ec_A_C</f>
        <v>1.22786480392051</v>
      </c>
      <c r="F298" s="61" t="e">
        <f>IF(ABS($B298-Ec_H2)&lt;=0.025,C298,NA())</f>
        <v>#N/A</v>
      </c>
      <c r="G298" s="61" t="e">
        <f>IF(ISNUMBER(Ec_BE_G),IF(ABS($B298-Ec_BE_G)&lt;=0.025,Ec_A_G,NA()),NA())</f>
        <v>#N/A</v>
      </c>
      <c r="H298" s="61" t="e">
        <f>IF(ISNUMBER(Ec_BE_C),IF(ABS($B298-Ec_BE_C)&lt;=0.025,Ec_A_C,NA()),NA())</f>
        <v>#N/A</v>
      </c>
      <c r="I298" s="39">
        <f>IF(MOD(197,20)=0,TEXT($B298,"0"),"")</f>
        <v/>
      </c>
    </row>
    <row r="299" spans="2:15" ht="17" customHeight="1">
      <c r="B299" s="36">
        <v>9.9</v>
      </c>
      <c r="C299" s="61">
        <f>Ec_A_L+Ec_B_L*$B299</f>
        <v>2.08543970927056</v>
      </c>
      <c r="D299" s="61">
        <f>Ec_A_G</f>
        <v>1.0411380717848</v>
      </c>
      <c r="E299" s="61">
        <f>Ec_A_C</f>
        <v>1.22786480392051</v>
      </c>
      <c r="F299" s="61" t="e">
        <f>IF(ABS($B299-Ec_H2)&lt;=0.025,C299,NA())</f>
        <v>#N/A</v>
      </c>
      <c r="G299" s="61" t="e">
        <f>IF(ISNUMBER(Ec_BE_G),IF(ABS($B299-Ec_BE_G)&lt;=0.025,Ec_A_G,NA()),NA())</f>
        <v>#N/A</v>
      </c>
      <c r="H299" s="61" t="e">
        <f>IF(ISNUMBER(Ec_BE_C),IF(ABS($B299-Ec_BE_C)&lt;=0.025,Ec_A_C,NA()),NA())</f>
        <v>#N/A</v>
      </c>
      <c r="I299" s="39">
        <f>IF(MOD(198,20)=0,TEXT($B299,"0"),"")</f>
        <v/>
      </c>
    </row>
    <row r="300" spans="2:15" ht="17" customHeight="1">
      <c r="B300" s="36">
        <v>9.949999999999999</v>
      </c>
      <c r="C300" s="61">
        <f>Ec_A_L+Ec_B_L*$B300</f>
        <v>2.08943970927056</v>
      </c>
      <c r="D300" s="61">
        <f>Ec_A_G</f>
        <v>1.0411380717848</v>
      </c>
      <c r="E300" s="61">
        <f>Ec_A_C</f>
        <v>1.22786480392051</v>
      </c>
      <c r="F300" s="61" t="e">
        <f>IF(ABS($B300-Ec_H2)&lt;=0.025,C300,NA())</f>
        <v>#N/A</v>
      </c>
      <c r="G300" s="61" t="e">
        <f>IF(ISNUMBER(Ec_BE_G),IF(ABS($B300-Ec_BE_G)&lt;=0.025,Ec_A_G,NA()),NA())</f>
        <v>#N/A</v>
      </c>
      <c r="H300" s="61" t="e">
        <f>IF(ISNUMBER(Ec_BE_C),IF(ABS($B300-Ec_BE_C)&lt;=0.025,Ec_A_C,NA()),NA())</f>
        <v>#N/A</v>
      </c>
      <c r="I300" s="39">
        <f>IF(MOD(199,20)=0,TEXT($B300,"0"),"")</f>
        <v/>
      </c>
    </row>
    <row r="301" spans="2:15" ht="17" customHeight="1">
      <c r="B301" s="36">
        <v>10</v>
      </c>
      <c r="C301" s="61">
        <f>Ec_A_L+Ec_B_L*$B301</f>
        <v>2.09343970927056</v>
      </c>
      <c r="D301" s="61">
        <f>Ec_A_G</f>
        <v>1.0411380717848</v>
      </c>
      <c r="E301" s="61">
        <f>Ec_A_C</f>
        <v>1.22786480392051</v>
      </c>
      <c r="F301" s="61" t="e">
        <f>IF(ABS($B301-Ec_H2)&lt;=0.025,C301,NA())</f>
        <v>#N/A</v>
      </c>
      <c r="G301" s="61" t="e">
        <f>IF(ISNUMBER(Ec_BE_G),IF(ABS($B301-Ec_BE_G)&lt;=0.025,Ec_A_G,NA()),NA())</f>
        <v>#N/A</v>
      </c>
      <c r="H301" s="61" t="e">
        <f>IF(ISNUMBER(Ec_BE_C),IF(ABS($B301-Ec_BE_C)&lt;=0.025,Ec_A_C,NA()),NA())</f>
        <v>#N/A</v>
      </c>
      <c r="I301" s="39" t="str">
        <f>IF(MOD(200,20)=0,TEXT($B301,"0"),"")</f>
        <v>10</v>
      </c>
    </row>
    <row r="304" spans="2:15" ht="17" customHeight="1">
      <c r="B304" s="7" t="s">
        <v>591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spans="2:17" ht="42" customHeight="1">
      <c r="B305" s="24" t="s">
        <v>251</v>
      </c>
      <c r="C305" s="25" t="s">
        <v>523</v>
      </c>
      <c r="D305" s="25" t="s">
        <v>527</v>
      </c>
      <c r="E305" s="25" t="s">
        <v>567</v>
      </c>
      <c r="F305" s="25" t="s">
        <v>569</v>
      </c>
      <c r="G305" s="25" t="s">
        <v>568</v>
      </c>
      <c r="H305" s="25" t="s">
        <v>525</v>
      </c>
      <c r="I305" s="25" t="s">
        <v>239</v>
      </c>
      <c r="J305" s="25" t="s">
        <v>252</v>
      </c>
      <c r="K305" s="25" t="s">
        <v>592</v>
      </c>
      <c r="L305" s="25" t="s">
        <v>593</v>
      </c>
      <c r="M305" s="25" t="s">
        <v>594</v>
      </c>
      <c r="N305" s="25" t="s">
        <v>595</v>
      </c>
      <c r="O305" s="25" t="s">
        <v>596</v>
      </c>
      <c r="P305" s="25" t="s">
        <v>597</v>
      </c>
      <c r="Q305" s="25" t="s">
        <v>257</v>
      </c>
    </row>
    <row r="306" spans="2:17" ht="17" customHeight="1">
      <c r="B306" s="34" t="s">
        <v>546</v>
      </c>
      <c r="C306" s="35">
        <f>E67</f>
        <v>0.140735</v>
      </c>
      <c r="D306" s="35">
        <f>E68</f>
        <v>0.00340557184750733</v>
      </c>
      <c r="E306" s="35">
        <f>E69</f>
        <v>1.05165694405028</v>
      </c>
      <c r="F306" s="35">
        <f>E70</f>
        <v>0</v>
      </c>
      <c r="G306" s="35">
        <f>E71</f>
        <v>0</v>
      </c>
      <c r="H306" s="35">
        <f>E72</f>
        <v>0.0320672880227165</v>
      </c>
      <c r="I306" s="35">
        <f>SUM(C306:H306)</f>
        <v>1.22786480392051</v>
      </c>
      <c r="J306" s="35">
        <f>0.3*MAX($I$306:$I$308)</f>
        <v>0.484031912781168</v>
      </c>
      <c r="K306" s="35" t="str">
        <f>IF(C306&lt;0.04*MAX($I$306:$I$308),"",TEXT(C306,IF(C306&lt;0.1,"0.000",IF(C306&lt;100,"0.0","#,##0"))))</f>
        <v>0.1</v>
      </c>
      <c r="L306" s="35">
        <f>IF(D306&lt;0.04*MAX($I$306:$I$308),"",TEXT(D306,IF(D306&lt;0.1,"0.000",IF(D306&lt;100,"0.0","#,##0"))))</f>
        <v/>
      </c>
      <c r="M306" s="35" t="str">
        <f>IF(E306&lt;0.04*MAX($I$306:$I$308),"",TEXT(E306,IF(E306&lt;0.1,"0.000",IF(E306&lt;100,"0.0","#,##0"))))</f>
        <v>1.1</v>
      </c>
      <c r="N306" s="35">
        <f>IF(F306&lt;0.04*MAX($I$306:$I$308),"",TEXT(F306,IF(F306&lt;0.1,"0.000",IF(F306&lt;100,"0.0","#,##0"))))</f>
        <v/>
      </c>
      <c r="O306" s="35">
        <f>IF(G306&lt;0.04*MAX($I$306:$I$308),"",TEXT(G306,IF(G306&lt;0.1,"0.000",IF(G306&lt;100,"0.0","#,##0"))))</f>
        <v/>
      </c>
      <c r="P306" s="35">
        <f>IF(H306&lt;0.04*MAX($I$306:$I$308),"",TEXT(H306,IF(H306&lt;0.1,"0.000",IF(H306&lt;100,"0.0","#,##0"))))</f>
        <v/>
      </c>
      <c r="Q306" s="35" t="str">
        <f>TEXT(I306,IF(I306&lt;0.1,"0.000",IF(I306&lt;100,"0.0","#,##0")))&amp;" "&amp;Ec_Unit</f>
        <v>1.2 USD/kg</v>
      </c>
    </row>
    <row r="307" spans="2:17" ht="17" customHeight="1">
      <c r="B307" s="34" t="s">
        <v>545</v>
      </c>
      <c r="C307" s="35">
        <f>D67</f>
        <v>0.140735</v>
      </c>
      <c r="D307" s="35">
        <f>D68</f>
        <v>0.00340557184750733</v>
      </c>
      <c r="E307" s="35">
        <f>D69</f>
        <v>0.723315063708404</v>
      </c>
      <c r="F307" s="35">
        <f>D70</f>
        <v>0</v>
      </c>
      <c r="G307" s="35">
        <f>D71</f>
        <v>0.138214464445489</v>
      </c>
      <c r="H307" s="35">
        <f>D72</f>
        <v>0.0354679717834002</v>
      </c>
      <c r="I307" s="35">
        <f>SUM(C307:H307)</f>
        <v>1.0411380717848</v>
      </c>
      <c r="J307" s="35">
        <f>0.3*MAX($I$306:$I$308)</f>
        <v>0.484031912781168</v>
      </c>
      <c r="K307" s="35" t="str">
        <f>IF(C307&lt;0.04*MAX($I$306:$I$308),"",TEXT(C307,IF(C307&lt;0.1,"0.000",IF(C307&lt;100,"0.0","#,##0"))))</f>
        <v>0.1</v>
      </c>
      <c r="L307" s="35">
        <f>IF(D307&lt;0.04*MAX($I$306:$I$308),"",TEXT(D307,IF(D307&lt;0.1,"0.000",IF(D307&lt;100,"0.0","#,##0"))))</f>
        <v/>
      </c>
      <c r="M307" s="35" t="str">
        <f>IF(E307&lt;0.04*MAX($I$306:$I$308),"",TEXT(E307,IF(E307&lt;0.1,"0.000",IF(E307&lt;100,"0.0","#,##0"))))</f>
        <v>0.7</v>
      </c>
      <c r="N307" s="35">
        <f>IF(F307&lt;0.04*MAX($I$306:$I$308),"",TEXT(F307,IF(F307&lt;0.1,"0.000",IF(F307&lt;100,"0.0","#,##0"))))</f>
        <v/>
      </c>
      <c r="O307" s="35" t="str">
        <f>IF(G307&lt;0.04*MAX($I$306:$I$308),"",TEXT(G307,IF(G307&lt;0.1,"0.000",IF(G307&lt;100,"0.0","#,##0"))))</f>
        <v>0.1</v>
      </c>
      <c r="P307" s="35">
        <f>IF(H307&lt;0.04*MAX($I$306:$I$308),"",TEXT(H307,IF(H307&lt;0.1,"0.000",IF(H307&lt;100,"0.0","#,##0"))))</f>
        <v/>
      </c>
      <c r="Q307" s="35" t="str">
        <f>TEXT(I307,IF(I307&lt;0.1,"0.000",IF(I307&lt;100,"0.0","#,##0")))&amp;" "&amp;Ec_Unit</f>
        <v>1.0 USD/kg</v>
      </c>
    </row>
    <row r="308" spans="2:17" ht="17" customHeight="1">
      <c r="B308" s="34" t="s">
        <v>386</v>
      </c>
      <c r="C308" s="35">
        <f>C67</f>
        <v>1.264137</v>
      </c>
      <c r="D308" s="35">
        <f>C68</f>
        <v>0.02282639520463</v>
      </c>
      <c r="E308" s="35">
        <f>C69</f>
        <v>0</v>
      </c>
      <c r="F308" s="35">
        <f>C70</f>
        <v>0.32</v>
      </c>
      <c r="G308" s="35">
        <f>C71</f>
        <v>0</v>
      </c>
      <c r="H308" s="35">
        <f>C72</f>
        <v>0.00647631406593079</v>
      </c>
      <c r="I308" s="35">
        <f>SUM(C308:H308)</f>
        <v>1.61343970927056</v>
      </c>
      <c r="J308" s="35">
        <f>0.3*MAX($I$306:$I$308)</f>
        <v>0.484031912781168</v>
      </c>
      <c r="K308" s="35" t="str">
        <f>IF(C308&lt;0.04*MAX($I$306:$I$308),"",TEXT(C308,IF(C308&lt;0.1,"0.000",IF(C308&lt;100,"0.0","#,##0"))))</f>
        <v>1.3</v>
      </c>
      <c r="L308" s="35">
        <f>IF(D308&lt;0.04*MAX($I$306:$I$308),"",TEXT(D308,IF(D308&lt;0.1,"0.000",IF(D308&lt;100,"0.0","#,##0"))))</f>
        <v/>
      </c>
      <c r="M308" s="35">
        <f>IF(E308&lt;0.04*MAX($I$306:$I$308),"",TEXT(E308,IF(E308&lt;0.1,"0.000",IF(E308&lt;100,"0.0","#,##0"))))</f>
        <v/>
      </c>
      <c r="N308" s="35" t="str">
        <f>IF(F308&lt;0.04*MAX($I$306:$I$308),"",TEXT(F308,IF(F308&lt;0.1,"0.000",IF(F308&lt;100,"0.0","#,##0"))))</f>
        <v>0.3</v>
      </c>
      <c r="O308" s="35">
        <f>IF(G308&lt;0.04*MAX($I$306:$I$308),"",TEXT(G308,IF(G308&lt;0.1,"0.000",IF(G308&lt;100,"0.0","#,##0"))))</f>
        <v/>
      </c>
      <c r="P308" s="35">
        <f>IF(H308&lt;0.04*MAX($I$306:$I$308),"",TEXT(H308,IF(H308&lt;0.1,"0.000",IF(H308&lt;100,"0.0","#,##0"))))</f>
        <v/>
      </c>
      <c r="Q308" s="35" t="str">
        <f>TEXT(I308,IF(I308&lt;0.1,"0.000",IF(I308&lt;100,"0.0","#,##0")))&amp;" "&amp;Ec_Unit</f>
        <v>1.6 USD/kg</v>
      </c>
    </row>
    <row r="311" spans="2:17" ht="17" customHeight="1">
      <c r="B311" s="7" t="s">
        <v>598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2:17" ht="42" customHeight="1">
      <c r="B312" s="24" t="s">
        <v>251</v>
      </c>
      <c r="C312" s="25" t="s">
        <v>236</v>
      </c>
      <c r="D312" s="25" t="s">
        <v>446</v>
      </c>
      <c r="E312" s="25" t="s">
        <v>447</v>
      </c>
      <c r="F312" s="25" t="s">
        <v>448</v>
      </c>
      <c r="G312" s="25" t="s">
        <v>449</v>
      </c>
      <c r="H312" s="25" t="s">
        <v>239</v>
      </c>
      <c r="I312" s="25" t="s">
        <v>252</v>
      </c>
      <c r="J312" s="25" t="s">
        <v>253</v>
      </c>
      <c r="K312" s="25" t="s">
        <v>451</v>
      </c>
      <c r="L312" s="25" t="s">
        <v>452</v>
      </c>
      <c r="M312" s="25" t="s">
        <v>453</v>
      </c>
      <c r="N312" s="25" t="s">
        <v>454</v>
      </c>
      <c r="O312" s="25" t="s">
        <v>257</v>
      </c>
    </row>
    <row r="313" spans="2:17" ht="17" customHeight="1">
      <c r="B313" s="34" t="s">
        <v>388</v>
      </c>
      <c r="C313" s="35">
        <f>E77</f>
        <v>0</v>
      </c>
      <c r="D313" s="35">
        <f>E78</f>
        <v>1.00525</v>
      </c>
      <c r="E313" s="35">
        <f>E79</f>
        <v>1.40273704789834</v>
      </c>
      <c r="F313" s="35">
        <f>E80</f>
        <v>0</v>
      </c>
      <c r="G313" s="35">
        <f>E81</f>
        <v>6.65868168693475</v>
      </c>
      <c r="H313" s="35">
        <f>SUM(C313:G313)</f>
        <v>9.06666873483309</v>
      </c>
      <c r="I313" s="35">
        <f>0.3*MAX($H$313:$H$315)</f>
        <v>3.66377388930189</v>
      </c>
      <c r="J313" s="35">
        <f>IF(C313&lt;0.04*MAX($H$313:$H$315),"",TEXT(C313,IF(C313&lt;0.1,"0.000",IF(C313&lt;100,"0.0","#,##0"))))</f>
        <v/>
      </c>
      <c r="K313" s="35" t="str">
        <f>IF(D313&lt;0.04*MAX($H$313:$H$315),"",TEXT(D313,IF(D313&lt;0.1,"0.000",IF(D313&lt;100,"0.0","#,##0"))))</f>
        <v>1.0</v>
      </c>
      <c r="L313" s="35" t="str">
        <f>IF(E313&lt;0.04*MAX($H$313:$H$315),"",TEXT(E313,IF(E313&lt;0.1,"0.000",IF(E313&lt;100,"0.0","#,##0"))))</f>
        <v>1.4</v>
      </c>
      <c r="M313" s="35">
        <f>IF(F313&lt;0.04*MAX($H$313:$H$315),"",TEXT(F313,IF(F313&lt;0.1,"0.000",IF(F313&lt;100,"0.0","#,##0"))))</f>
        <v/>
      </c>
      <c r="N313" s="35" t="str">
        <f>IF(G313&lt;0.04*MAX($H$313:$H$315),"",TEXT(G313,IF(G313&lt;0.1,"0.000",IF(G313&lt;100,"0.0","#,##0"))))</f>
        <v>6.7</v>
      </c>
      <c r="O313" s="35" t="str">
        <f>TEXT(H313,IF(H313&lt;0.1,"0.000",IF(H313&lt;100,"0.0","#,##0")))&amp;" "&amp;Ec_UnitK</f>
        <v>9.1 kWh/kg</v>
      </c>
    </row>
    <row r="314" spans="2:17" ht="17" customHeight="1">
      <c r="B314" s="34" t="s">
        <v>387</v>
      </c>
      <c r="C314" s="35">
        <f>D77</f>
        <v>0</v>
      </c>
      <c r="D314" s="35">
        <f>D78</f>
        <v>1.00525</v>
      </c>
      <c r="E314" s="35">
        <f>D79</f>
        <v>1.40273704789834</v>
      </c>
      <c r="F314" s="35">
        <f>D80</f>
        <v>0</v>
      </c>
      <c r="G314" s="35">
        <f>D81</f>
        <v>7.375393937647</v>
      </c>
      <c r="H314" s="35">
        <f>SUM(C314:G314)</f>
        <v>9.78338098554534</v>
      </c>
      <c r="I314" s="35">
        <f>0.3*MAX($H$313:$H$315)</f>
        <v>3.66377388930189</v>
      </c>
      <c r="J314" s="35">
        <f>IF(C314&lt;0.04*MAX($H$313:$H$315),"",TEXT(C314,IF(C314&lt;0.1,"0.000",IF(C314&lt;100,"0.0","#,##0"))))</f>
        <v/>
      </c>
      <c r="K314" s="35" t="str">
        <f>IF(D314&lt;0.04*MAX($H$313:$H$315),"",TEXT(D314,IF(D314&lt;0.1,"0.000",IF(D314&lt;100,"0.0","#,##0"))))</f>
        <v>1.0</v>
      </c>
      <c r="L314" s="35" t="str">
        <f>IF(E314&lt;0.04*MAX($H$313:$H$315),"",TEXT(E314,IF(E314&lt;0.1,"0.000",IF(E314&lt;100,"0.0","#,##0"))))</f>
        <v>1.4</v>
      </c>
      <c r="M314" s="35">
        <f>IF(F314&lt;0.04*MAX($H$313:$H$315),"",TEXT(F314,IF(F314&lt;0.1,"0.000",IF(F314&lt;100,"0.0","#,##0"))))</f>
        <v/>
      </c>
      <c r="N314" s="35" t="str">
        <f>IF(G314&lt;0.04*MAX($H$313:$H$315),"",TEXT(G314,IF(G314&lt;0.1,"0.000",IF(G314&lt;100,"0.0","#,##0"))))</f>
        <v>7.4</v>
      </c>
      <c r="O314" s="35" t="str">
        <f>TEXT(H314,IF(H314&lt;0.1,"0.000",IF(H314&lt;100,"0.0","#,##0")))&amp;" "&amp;Ec_UnitK</f>
        <v>9.8 kWh/kg</v>
      </c>
    </row>
    <row r="315" spans="2:17" ht="17" customHeight="1">
      <c r="B315" s="34" t="s">
        <v>386</v>
      </c>
      <c r="C315" s="35">
        <f>C77</f>
        <v>0</v>
      </c>
      <c r="D315" s="35">
        <f>C78</f>
        <v>9.02955</v>
      </c>
      <c r="E315" s="35">
        <f>C79</f>
        <v>0.470103578154426</v>
      </c>
      <c r="F315" s="35">
        <f>C80</f>
        <v>2.66666666666667</v>
      </c>
      <c r="G315" s="35">
        <f>C81</f>
        <v>0.0462593861852199</v>
      </c>
      <c r="H315" s="35">
        <f>SUM(C315:G315)</f>
        <v>12.2125796310063</v>
      </c>
      <c r="I315" s="35">
        <f>0.3*MAX($H$313:$H$315)</f>
        <v>3.66377388930189</v>
      </c>
      <c r="J315" s="35">
        <f>IF(C315&lt;0.04*MAX($H$313:$H$315),"",TEXT(C315,IF(C315&lt;0.1,"0.000",IF(C315&lt;100,"0.0","#,##0"))))</f>
        <v/>
      </c>
      <c r="K315" s="35" t="str">
        <f>IF(D315&lt;0.04*MAX($H$313:$H$315),"",TEXT(D315,IF(D315&lt;0.1,"0.000",IF(D315&lt;100,"0.0","#,##0"))))</f>
        <v>9.0</v>
      </c>
      <c r="L315" s="35">
        <f>IF(E315&lt;0.04*MAX($H$313:$H$315),"",TEXT(E315,IF(E315&lt;0.1,"0.000",IF(E315&lt;100,"0.0","#,##0"))))</f>
        <v/>
      </c>
      <c r="M315" s="35" t="str">
        <f>IF(F315&lt;0.04*MAX($H$313:$H$315),"",TEXT(F315,IF(F315&lt;0.1,"0.000",IF(F315&lt;100,"0.0","#,##0"))))</f>
        <v>2.7</v>
      </c>
      <c r="N315" s="35">
        <f>IF(G315&lt;0.04*MAX($H$313:$H$315),"",TEXT(G315,IF(G315&lt;0.1,"0.000",IF(G315&lt;100,"0.0","#,##0"))))</f>
        <v/>
      </c>
      <c r="O315" s="35" t="str">
        <f>TEXT(H315,IF(H315&lt;0.1,"0.000",IF(H315&lt;100,"0.0","#,##0")))&amp;" "&amp;Ec_UnitK</f>
        <v>12.2 kWh/kg</v>
      </c>
    </row>
    <row r="318" spans="2:17" ht="17" customHeight="1">
      <c r="B318" s="7" t="s">
        <v>131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spans="2:17" ht="17" customHeight="1">
      <c r="B319" s="6" t="s">
        <v>599</v>
      </c>
    </row>
    <row r="320" spans="2:17" ht="17" customHeight="1">
      <c r="B320" s="6" t="s">
        <v>600</v>
      </c>
    </row>
    <row r="321" spans="2:2" ht="17" customHeight="1">
      <c r="B321" s="6" t="s">
        <v>601</v>
      </c>
    </row>
    <row r="322" spans="2:2" ht="17" customHeight="1">
      <c r="B322" s="6" t="s">
        <v>602</v>
      </c>
    </row>
    <row r="323" spans="2:2" ht="17" customHeight="1">
      <c r="B323" s="6" t="s">
        <v>603</v>
      </c>
    </row>
    <row r="324" spans="2:2" ht="17" customHeight="1">
      <c r="B324" s="6" t="s">
        <v>604</v>
      </c>
    </row>
  </sheetData>
  <mergeCells count="9">
    <mergeCell ref="B2:P2"/>
    <mergeCell ref="B3:P3"/>
    <mergeCell ref="B4:P4"/>
    <mergeCell ref="B5:P5"/>
    <mergeCell ref="B6:P6"/>
    <mergeCell ref="C17:D17"/>
    <mergeCell ref="C20:D20"/>
    <mergeCell ref="C21:D21"/>
    <mergeCell ref="C22:D22"/>
  </mergeCells>
  <dataValidations count="1">
    <dataValidation type="list" allowBlank="1" showInputMessage="1" showErrorMessage="1" errorTitle="Pick from the list" error="Choose one of the listed options." sqref="C17">
      <formula1>"H2 produced (Economic Origin),H2 delivered (Economics)"</formula1>
    </dataValidation>
  </dataValidations>
  <pageMargins left="0.7" right="0.7" top="0.75" bottom="0.75" header="0.3" footer="0.3"/>
  <pageSetup paperSize="8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258</vt:i4>
      </vt:variant>
    </vt:vector>
  </HeadingPairs>
  <TitlesOfParts>
    <vt:vector size="264" baseType="lpstr">
      <vt:lpstr>Upstream</vt:lpstr>
      <vt:lpstr>Midstream</vt:lpstr>
      <vt:lpstr>Downstream</vt:lpstr>
      <vt:lpstr>Full Chain</vt:lpstr>
      <vt:lpstr>Annual Energy</vt:lpstr>
      <vt:lpstr>Energy Cost</vt:lpstr>
      <vt:lpstr>An_Avail</vt:lpstr>
      <vt:lpstr>An_E_C</vt:lpstr>
      <vt:lpstr>An_E_G</vt:lpstr>
      <vt:lpstr>An_E_L</vt:lpstr>
      <vt:lpstr>An_Es</vt:lpstr>
      <vt:lpstr>An_Port</vt:lpstr>
      <vt:lpstr>An_RT</vt:lpstr>
      <vt:lpstr>An_T9</vt:lpstr>
      <vt:lpstr>An_T</vt:lpstr>
      <vt:lpstr>An_Target</vt:lpstr>
      <vt:lpstr>An_TLog</vt:lpstr>
      <vt:lpstr>An_Unit</vt:lpstr>
      <vt:lpstr>An_VPS</vt:lpstr>
      <vt:lpstr>An_X9</vt:lpstr>
      <vt:lpstr>Ch_ArrN</vt:lpstr>
      <vt:lpstr>Ch_Ball</vt:lpstr>
      <vt:lpstr>Ch_Ballast</vt:lpstr>
      <vt:lpstr>Ch_Basis</vt:lpstr>
      <vt:lpstr>Ch_Best</vt:lpstr>
      <vt:lpstr>Ch_BogKg</vt:lpstr>
      <vt:lpstr>Ch_BurnedKg</vt:lpstr>
      <vt:lpstr>Ch_Cargo_C</vt:lpstr>
      <vt:lpstr>Ch_Cargo_G</vt:lpstr>
      <vt:lpstr>Ch_Cargo_L</vt:lpstr>
      <vt:lpstr>Ch_Days</vt:lpstr>
      <vt:lpstr>Ch_Del_C</vt:lpstr>
      <vt:lpstr>Ch_Del_G</vt:lpstr>
      <vt:lpstr>Ch_Del_L</vt:lpstr>
      <vt:lpstr>Ch_DelL</vt:lpstr>
      <vt:lpstr>Ch_DF</vt:lpstr>
      <vt:lpstr>Ch_Down_C</vt:lpstr>
      <vt:lpstr>Ch_Down_G</vt:lpstr>
      <vt:lpstr>Ch_Down_L</vt:lpstr>
      <vt:lpstr>Ch_El_C</vt:lpstr>
      <vt:lpstr>Ch_El_G</vt:lpstr>
      <vt:lpstr>Ch_El_L</vt:lpstr>
      <vt:lpstr>Ch_FromCargo</vt:lpstr>
      <vt:lpstr>Ch_Fuel</vt:lpstr>
      <vt:lpstr>Ch_Hin_C</vt:lpstr>
      <vt:lpstr>Ch_Hin_G</vt:lpstr>
      <vt:lpstr>Ch_Hin_L</vt:lpstr>
      <vt:lpstr>Ch_Liq_C</vt:lpstr>
      <vt:lpstr>Ch_Liq_G</vt:lpstr>
      <vt:lpstr>Ch_Liq_L</vt:lpstr>
      <vt:lpstr>Ch_NH3FuelT</vt:lpstr>
      <vt:lpstr>Ch_PerKg</vt:lpstr>
      <vt:lpstr>Ch_Rl_C</vt:lpstr>
      <vt:lpstr>Ch_Rl_G</vt:lpstr>
      <vt:lpstr>Ch_Rl_L</vt:lpstr>
      <vt:lpstr>Ch_Sc</vt:lpstr>
      <vt:lpstr>Ch_Ship_C</vt:lpstr>
      <vt:lpstr>Ch_Ship_G</vt:lpstr>
      <vt:lpstr>Ch_Ship_L</vt:lpstr>
      <vt:lpstr>Ch_Src</vt:lpstr>
      <vt:lpstr>Ch_SurplusKg</vt:lpstr>
      <vt:lpstr>Ch_T8</vt:lpstr>
      <vt:lpstr>Ch_Tot_C</vt:lpstr>
      <vt:lpstr>Ch_Tot_G</vt:lpstr>
      <vt:lpstr>Ch_Tot_L</vt:lpstr>
      <vt:lpstr>Ch_Unit</vt:lpstr>
      <vt:lpstr>Ch_VlsfoL_t</vt:lpstr>
      <vt:lpstr>Ch_VlsfoN_t</vt:lpstr>
      <vt:lpstr>Ch_X8</vt:lpstr>
      <vt:lpstr>Dn_Annual</vt:lpstr>
      <vt:lpstr>Dn_Basis</vt:lpstr>
      <vt:lpstr>Dn_BorL</vt:lpstr>
      <vt:lpstr>Dn_BorN</vt:lpstr>
      <vt:lpstr>Dn_Cp</vt:lpstr>
      <vt:lpstr>Dn_DivCL</vt:lpstr>
      <vt:lpstr>Dn_DivNG</vt:lpstr>
      <vt:lpstr>Dn_DivRg</vt:lpstr>
      <vt:lpstr>Dn_DT</vt:lpstr>
      <vt:lpstr>Dn_Duty</vt:lpstr>
      <vt:lpstr>Dn_Elec</vt:lpstr>
      <vt:lpstr>Dn_EtaP</vt:lpstr>
      <vt:lpstr>Dn_EtaSW</vt:lpstr>
      <vt:lpstr>Dn_FeedCl</vt:lpstr>
      <vt:lpstr>Dn_FeedNG</vt:lpstr>
      <vt:lpstr>Dn_H2CL</vt:lpstr>
      <vt:lpstr>Dn_H2L</vt:lpstr>
      <vt:lpstr>Dn_H2NG</vt:lpstr>
      <vt:lpstr>Dn_Head</vt:lpstr>
      <vt:lpstr>Dn_Hold</vt:lpstr>
      <vt:lpstr>Dn_kN</vt:lpstr>
      <vt:lpstr>Dn_Mode</vt:lpstr>
      <vt:lpstr>Dn_PumpL</vt:lpstr>
      <vt:lpstr>Dn_PumpSW</vt:lpstr>
      <vt:lpstr>Dn_RegasPerKg</vt:lpstr>
      <vt:lpstr>Dn_SecL</vt:lpstr>
      <vt:lpstr>Dn_SecN</vt:lpstr>
      <vt:lpstr>Dn_SendP</vt:lpstr>
      <vt:lpstr>Dn_Stoich</vt:lpstr>
      <vt:lpstr>Dn_SwKg</vt:lpstr>
      <vt:lpstr>Dn_T5</vt:lpstr>
      <vt:lpstr>Dn_T6</vt:lpstr>
      <vt:lpstr>Dn_Tank</vt:lpstr>
      <vt:lpstr>Dn_TankL</vt:lpstr>
      <vt:lpstr>Dn_TankN</vt:lpstr>
      <vt:lpstr>Dn_TotCL</vt:lpstr>
      <vt:lpstr>Dn_TotL</vt:lpstr>
      <vt:lpstr>Dn_TotNG</vt:lpstr>
      <vt:lpstr>Dn_Unit</vt:lpstr>
      <vt:lpstr>Dn_VCL</vt:lpstr>
      <vt:lpstr>Dn_VNG</vt:lpstr>
      <vt:lpstr>Dn_VRg</vt:lpstr>
      <vt:lpstr>Dn_X5</vt:lpstr>
      <vt:lpstr>Dn_X6</vt:lpstr>
      <vt:lpstr>Ec_A_C</vt:lpstr>
      <vt:lpstr>Ec_A_G</vt:lpstr>
      <vt:lpstr>Ec_A_L</vt:lpstr>
      <vt:lpstr>Ec_B_C</vt:lpstr>
      <vt:lpstr>Ec_B_G</vt:lpstr>
      <vt:lpstr>Ec_B_L</vt:lpstr>
      <vt:lpstr>Ec_Basis</vt:lpstr>
      <vt:lpstr>Ec_BE_C</vt:lpstr>
      <vt:lpstr>Ec_BE_G</vt:lpstr>
      <vt:lpstr>Ec_Cost_C</vt:lpstr>
      <vt:lpstr>Ec_Cost_G</vt:lpstr>
      <vt:lpstr>Ec_Cost_L</vt:lpstr>
      <vt:lpstr>Ec_Den_C</vt:lpstr>
      <vt:lpstr>Ec_Den_G</vt:lpstr>
      <vt:lpstr>Ec_Den_L</vt:lpstr>
      <vt:lpstr>Ec_Dn</vt:lpstr>
      <vt:lpstr>Ec_H2</vt:lpstr>
      <vt:lpstr>Ec_L12a</vt:lpstr>
      <vt:lpstr>Ec_L12b</vt:lpstr>
      <vt:lpstr>Ec_L12c</vt:lpstr>
      <vt:lpstr>Ec_MMBtu</vt:lpstr>
      <vt:lpstr>Ec_N</vt:lpstr>
      <vt:lpstr>Ec_NG</vt:lpstr>
      <vt:lpstr>Ec_Q_C</vt:lpstr>
      <vt:lpstr>Ec_Q_G</vt:lpstr>
      <vt:lpstr>Ec_Q_L</vt:lpstr>
      <vt:lpstr>Ec_T12</vt:lpstr>
      <vt:lpstr>Ec_T13</vt:lpstr>
      <vt:lpstr>Ec_T14</vt:lpstr>
      <vt:lpstr>Ec_TotK</vt:lpstr>
      <vt:lpstr>Ec_Unit</vt:lpstr>
      <vt:lpstr>Ec_UnitK</vt:lpstr>
      <vt:lpstr>Ec_Up</vt:lpstr>
      <vt:lpstr>Ec_Usd_C</vt:lpstr>
      <vt:lpstr>Ec_Usd_G</vt:lpstr>
      <vt:lpstr>Ec_Usd_L</vt:lpstr>
      <vt:lpstr>Ec_V</vt:lpstr>
      <vt:lpstr>Ec_Word</vt:lpstr>
      <vt:lpstr>Ec_X13</vt:lpstr>
      <vt:lpstr>Ec_X14</vt:lpstr>
      <vt:lpstr>Ec_Y12</vt:lpstr>
      <vt:lpstr>Ship_Basis</vt:lpstr>
      <vt:lpstr>Ship_BE</vt:lpstr>
      <vt:lpstr>Ship_BEh2</vt:lpstr>
      <vt:lpstr>Ship_BOG</vt:lpstr>
      <vt:lpstr>Ship_BogN</vt:lpstr>
      <vt:lpstr>Ship_BOR_L</vt:lpstr>
      <vt:lpstr>Ship_BOR_N</vt:lpstr>
      <vt:lpstr>Ship_BorStar</vt:lpstr>
      <vt:lpstr>Ship_Burned</vt:lpstr>
      <vt:lpstr>Ship_CargoL</vt:lpstr>
      <vt:lpstr>Ship_CargoN</vt:lpstr>
      <vt:lpstr>Ship_CostN</vt:lpstr>
      <vt:lpstr>Ship_CostNcmp</vt:lpstr>
      <vt:lpstr>Ship_Duty_L</vt:lpstr>
      <vt:lpstr>Ship_Duty_N</vt:lpstr>
      <vt:lpstr>Ship_Fill_L</vt:lpstr>
      <vt:lpstr>Ship_FixedL</vt:lpstr>
      <vt:lpstr>Ship_H2inNH3</vt:lpstr>
      <vt:lpstr>Ship_H2N</vt:lpstr>
      <vt:lpstr>Ship_HCap</vt:lpstr>
      <vt:lpstr>Ship_HFull</vt:lpstr>
      <vt:lpstr>Ship_L1</vt:lpstr>
      <vt:lpstr>Ship_L2</vt:lpstr>
      <vt:lpstr>Ship_L3</vt:lpstr>
      <vt:lpstr>Ship_L4</vt:lpstr>
      <vt:lpstr>Ship_L5</vt:lpstr>
      <vt:lpstr>Ship_L6</vt:lpstr>
      <vt:lpstr>Ship_L7</vt:lpstr>
      <vt:lpstr>Ship_LHV_H2</vt:lpstr>
      <vt:lpstr>Ship_LHV_N</vt:lpstr>
      <vt:lpstr>Ship_LHV_VLSFO</vt:lpstr>
      <vt:lpstr>Ship_NH3Fuel</vt:lpstr>
      <vt:lpstr>Ship_NoteBasis</vt:lpstr>
      <vt:lpstr>Ship_P_H2</vt:lpstr>
      <vt:lpstr>Ship_P_N</vt:lpstr>
      <vt:lpstr>Ship_P_VLSFO</vt:lpstr>
      <vt:lpstr>Ship_Pilot_L</vt:lpstr>
      <vt:lpstr>Ship_PilotN</vt:lpstr>
      <vt:lpstr>Ship_Rho_L</vt:lpstr>
      <vt:lpstr>Ship_Rho_N</vt:lpstr>
      <vt:lpstr>Ship_ScaleN</vt:lpstr>
      <vt:lpstr>Ship_Share_N</vt:lpstr>
      <vt:lpstr>Ship_Surplus</vt:lpstr>
      <vt:lpstr>Ship_SW</vt:lpstr>
      <vt:lpstr>Ship_T1</vt:lpstr>
      <vt:lpstr>Ship_T2</vt:lpstr>
      <vt:lpstr>Ship_T3</vt:lpstr>
      <vt:lpstr>Ship_T4</vt:lpstr>
      <vt:lpstr>Ship_Vlsfo</vt:lpstr>
      <vt:lpstr>Ship_VlsfoSigned</vt:lpstr>
      <vt:lpstr>Ship_Vol</vt:lpstr>
      <vt:lpstr>Stg_Dn_C</vt:lpstr>
      <vt:lpstr>Stg_Dn_G</vt:lpstr>
      <vt:lpstr>Stg_Dn_L</vt:lpstr>
      <vt:lpstr>Stg_El_C</vt:lpstr>
      <vt:lpstr>Stg_El_G</vt:lpstr>
      <vt:lpstr>Stg_El_L</vt:lpstr>
      <vt:lpstr>Stg_Sh_C</vt:lpstr>
      <vt:lpstr>Stg_Sh_G</vt:lpstr>
      <vt:lpstr>Stg_Sh_L</vt:lpstr>
      <vt:lpstr>Stg_ShH_C</vt:lpstr>
      <vt:lpstr>Stg_ShH_G</vt:lpstr>
      <vt:lpstr>Stg_ShH_L</vt:lpstr>
      <vt:lpstr>Stg_Up_C</vt:lpstr>
      <vt:lpstr>Stg_Up_G</vt:lpstr>
      <vt:lpstr>Stg_Up_L</vt:lpstr>
      <vt:lpstr>Up_Basis</vt:lpstr>
      <vt:lpstr>Up_BogL</vt:lpstr>
      <vt:lpstr>Up_BogN</vt:lpstr>
      <vt:lpstr>Up_BorL</vt:lpstr>
      <vt:lpstr>Up_BorN</vt:lpstr>
      <vt:lpstr>Up_Days</vt:lpstr>
      <vt:lpstr>Up_DivL</vt:lpstr>
      <vt:lpstr>Up_DivN</vt:lpstr>
      <vt:lpstr>Up_ElzL</vt:lpstr>
      <vt:lpstr>Up_ElzN</vt:lpstr>
      <vt:lpstr>Up_ElzOn</vt:lpstr>
      <vt:lpstr>Up_ElzSec</vt:lpstr>
      <vt:lpstr>Up_Fill</vt:lpstr>
      <vt:lpstr>Up_H2N</vt:lpstr>
      <vt:lpstr>Up_HB</vt:lpstr>
      <vt:lpstr>Up_InvL</vt:lpstr>
      <vt:lpstr>Up_InvN</vt:lpstr>
      <vt:lpstr>Up_LblN</vt:lpstr>
      <vt:lpstr>Up_LblP</vt:lpstr>
      <vt:lpstr>Up_LblPar</vt:lpstr>
      <vt:lpstr>Up_LblUser</vt:lpstr>
      <vt:lpstr>Up_Liq</vt:lpstr>
      <vt:lpstr>Up_Loss</vt:lpstr>
      <vt:lpstr>Up_MinNorm</vt:lpstr>
      <vt:lpstr>Up_MinPara</vt:lpstr>
      <vt:lpstr>Up_Par0</vt:lpstr>
      <vt:lpstr>Up_Par</vt:lpstr>
      <vt:lpstr>Up_Ratio</vt:lpstr>
      <vt:lpstr>Up_RlL</vt:lpstr>
      <vt:lpstr>Up_RlN</vt:lpstr>
      <vt:lpstr>Up_RlqL</vt:lpstr>
      <vt:lpstr>Up_RlqN</vt:lpstr>
      <vt:lpstr>Up_SecL</vt:lpstr>
      <vt:lpstr>Up_SecN</vt:lpstr>
      <vt:lpstr>Up_Stoich</vt:lpstr>
      <vt:lpstr>Up_T7</vt:lpstr>
      <vt:lpstr>Up_T7b</vt:lpstr>
      <vt:lpstr>Up_Tank</vt:lpstr>
      <vt:lpstr>Up_TotL</vt:lpstr>
      <vt:lpstr>Up_TotN</vt:lpstr>
      <vt:lpstr>Up_Unit</vt:lpstr>
      <vt:lpstr>Up_XT7</vt:lpstr>
      <vt:lpstr>Up_YT7b</vt:lpstr>
      <vt:lpstr>Up_YTop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LH2 vs Ammonia Energy Value Chain (Excel replica)</dc:title>
  <dc:creator>Gentari</dc:creator>
  <dc:description>Replica of the artifact LH2 vs Ammonia Energy Value Chain; live formulas, dropdown switches, native charts.</dc:description>
  <cp:lastModifiedBy>Gentari</cp:lastModifiedBy>
  <dcterms:created xsi:type="dcterms:W3CDTF">2026-10-23T04:39:13Z</dcterms:created>
  <dcterms:modified xsi:type="dcterms:W3CDTF">2026-10-23T04:39:13Z</dcterms:modified>
</cp:coreProperties>
</file>