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Voyage Model" sheetId="3" state="visible" r:id="rId5"/>
    <sheet name="Sens - Distance" sheetId="4" state="visible" r:id="rId6"/>
    <sheet name="Sens - Boiloff" sheetId="5" state="visible" r:id="rId7"/>
    <sheet name="Sens - H2Price" sheetId="6" state="visible" r:id="rId8"/>
    <sheet name="Decision Map" sheetId="7" state="visible" r:id="rId9"/>
    <sheet name="NH3 Scenarios" sheetId="8" state="visible" r:id="rId10"/>
    <sheet name="Sources &amp; Tag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<sst xmlns="http://schemas.openxmlformats.org/spreadsheetml/2006/main" count="348" uniqueCount="259">
  <si>
    <t xml:space="preserve">Dashboard — LH₂ vs Ammonia Shipping</t>
  </si>
  <si>
    <t xml:space="preserve">Headline read at the current Inputs. Kakinada, India → Hamburg, Germany.</t>
  </si>
  <si>
    <t xml:space="preserve">WINNER ON THROUGHPUT</t>
  </si>
  <si>
    <t xml:space="preserve">LH₂ ANNUAL DELIVERY</t>
  </si>
  <si>
    <t xml:space="preserve">NH₃ ANNUAL DELIVERY</t>
  </si>
  <si>
    <t xml:space="preserve">NH₃ SHIPS PER LH₂ SHIP</t>
  </si>
  <si>
    <t xml:space="preserve">Annual H2-equivalent delivered per vessel, ktpa (see the two tiles at right).</t>
  </si>
  <si>
    <t xml:space="preserve">See Voyage Model row 16 for the fleet size this implies.</t>
  </si>
  <si>
    <t xml:space="preserve">At the currently selected capacities for both carriers.</t>
  </si>
  <si>
    <t xml:space="preserve">BOIL-OFF COVERS PROPULSION DEMAND</t>
  </si>
  <si>
    <t xml:space="preserve">LH₂ COST PER KG H₂ (ACTIVE MODE)</t>
  </si>
  <si>
    <t xml:space="preserve">NH₃ COST PER KG H₂ (ACTIVE MODE)</t>
  </si>
  <si>
    <t xml:space="preserve">CHEAPER CARRIER (ACTIVE MODE)</t>
  </si>
  <si>
    <t xml:space="preserve">&gt;100% = surplus is wasted; &lt;100% = ship still buys top-up VLSFO.</t>
  </si>
  <si>
    <t xml:space="preserve">Active mode set on the Inputs sheet.</t>
  </si>
  <si>
    <t xml:space="preserve">Boil-off cost per kg H2 delivered, active mode.</t>
  </si>
  <si>
    <t xml:space="preserve">BREAKEVEN LH₂ BOIL-OFF (THROUGHPUT)</t>
  </si>
  <si>
    <t xml:space="preserve">BREAKEVEN LH₂ BOIL-OFF (FUEL COVER)</t>
  </si>
  <si>
    <t xml:space="preserve">BREAKEVEN H₂ VALUE</t>
  </si>
  <si>
    <t xml:space="preserve">BREAKEVEN NH₃ CAPACITY</t>
  </si>
  <si>
    <t xml:space="preserve">Above this LH2 BOR, NH3 delivers more annual H2-eq per vessel.</t>
  </si>
  <si>
    <t xml:space="preserve">Above this LH2 BOR, boil-off exceeds propulsion demand and is wasted.</t>
  </si>
  <si>
    <t xml:space="preserve">Above this hydrogen value, ammonia is cheaper on the active cost basis.</t>
  </si>
  <si>
    <t xml:space="preserve">NH3 capacity needed to match one LH2 ship's annual throughput.</t>
  </si>
  <si>
    <t xml:space="preserve">OPEN GAPS — nothing here is fabricated; see Inputs sheet Tag column</t>
  </si>
  <si>
    <t xml:space="preserve">• LH₂ voyage boil-off rate: KHI never disclosed one — the single biggest lever in this workbook.</t>
  </si>
  <si>
    <t xml:space="preserve">• LH₂ propulsion duty (25 t/day): carried over from the ammonia vessel; a 160,000 m³ hull at ~16 kn plausibly burns several times this. See the Suggested Duty cells on Inputs.</t>
  </si>
  <si>
    <t xml:space="preserve">• Every NH₃ vessel figure (speed, capacity, port time, BOR, reliquefaction energy) is user-stated or estimated, pending the internal Gentari NH3 dataset (decision D4).</t>
  </si>
  <si>
    <t xml:space="preserve">• Hydrogen value and VLSFO price are set by you — neither is logged in the repository; the model reports breakeven prices rather than asserting one.</t>
  </si>
  <si>
    <t xml:space="preserve">• Corridor distance is a first-principles great-circle estimate, not an AIS/route-planner figure.</t>
  </si>
  <si>
    <t xml:space="preserve">LH₂ vs Ammonia — Shipping Inputs</t>
  </si>
  <si>
    <t xml:space="preserve">Edit any blue cell — every sheet, table and chart in this workbook recomputes live. Corridor: Kakinada, India → Hamburg, Germany. Font: Arial throughout.</t>
  </si>
  <si>
    <t xml:space="preserve">Parameter</t>
  </si>
  <si>
    <t xml:space="preserve">Value</t>
  </si>
  <si>
    <t xml:space="preserve">Unit</t>
  </si>
  <si>
    <t xml:space="preserve">Tag</t>
  </si>
  <si>
    <t xml:space="preserve">Note / source</t>
  </si>
  <si>
    <t xml:space="preserve">CORRIDOR  —  Kakinada, India → Hamburg, Germany</t>
  </si>
  <si>
    <t xml:space="preserve">One-way distance</t>
  </si>
  <si>
    <t xml:space="preserve">km</t>
  </si>
  <si>
    <t xml:space="preserve">ESTIMATE</t>
  </si>
  <si>
    <t xml:space="preserve">First-principles great-circle waypoint sum (distance-calculator sites are egress-blocked from this environment). Suez route ≈10,260 km; Cape of Good Hope route (primary, current Red Sea rerouting reality) ≈21,200 km. See data/routes/kakinada-hamburg.csv.</t>
  </si>
  <si>
    <t xml:space="preserve">LH₂ VESSEL</t>
  </si>
  <si>
    <t xml:space="preserve">Capacity (choose 40,000 or 160,000)</t>
  </si>
  <si>
    <t xml:space="preserve">m³</t>
  </si>
  <si>
    <t xml:space="preserve">CITED</t>
  </si>
  <si>
    <t xml:space="preserve">KHI-disclosed. 40,000 m³ = vessel under construction (reply Q29); 160,000 m³ = commercial-scale target (cost-basis slide).</t>
  </si>
  <si>
    <t xml:space="preserve">Cargo density</t>
  </si>
  <si>
    <t xml:space="preserve">kg/m³</t>
  </si>
  <si>
    <t xml:space="preserve">needs-source</t>
  </si>
  <si>
    <t xml:space="preserve">LH2 at NBP; data/properties/lh2-properties.csv, pending NIST/CODATA citation.</t>
  </si>
  <si>
    <t xml:space="preserve">Fill fraction</t>
  </si>
  <si>
    <t xml:space="preserve">%</t>
  </si>
  <si>
    <t xml:space="preserve">ASSUMPTION</t>
  </si>
  <si>
    <t xml:space="preserve">Ullage / ship-fill-limit placeholder, not KHI-specific.</t>
  </si>
  <si>
    <t xml:space="preserve">Service speed</t>
  </si>
  <si>
    <t xml:space="preserve">km/h</t>
  </si>
  <si>
    <t xml:space="preserve">≈16 kn; kawasaki-2026-supplemental, given for the 160,000 m³ commercial vessel and reused for the 40,000 m³ hull.</t>
  </si>
  <si>
    <t xml:space="preserve">Port days per call</t>
  </si>
  <si>
    <t xml:space="preserve">day</t>
  </si>
  <si>
    <t xml:space="preserve">Midpoint of KHI's disclosed 1–1.5 day range (reply Q27).</t>
  </si>
  <si>
    <t xml:space="preserve">Voyage boil-off rate</t>
  </si>
  <si>
    <t xml:space="preserve">%/day</t>
  </si>
  <si>
    <t xml:space="preserve">KHI never disclosed a standalone voyage BOR. The single biggest lever in this workbook. Literature (RSER 2026, unpromoted) suggests ~3.44%/day for a comparable vessel class.</t>
  </si>
  <si>
    <t xml:space="preserve">Propulsion fuel duty (VLSFO)</t>
  </si>
  <si>
    <t xml:space="preserve">t/day</t>
  </si>
  <si>
    <t xml:space="preserve">Carried over from the ammonia vessel's stated duty so both ships share one basis — NOT a disclosed figure for either LH2 hull. See suggested-duty cell below.</t>
  </si>
  <si>
    <t xml:space="preserve">NH₃ VESSEL  (fully refrigerated, ~-33°C)</t>
  </si>
  <si>
    <t xml:space="preserve">Capacity (choose 24k / 40k / 60k / 90k)</t>
  </si>
  <si>
    <t xml:space="preserve">24,000 m³ = originally specified vessel; 40k/60k/90k = mid-size / large / VLGC-scale gas-carrier size bands (general industry classes, not repository figures). Largest ammonia carriers in service are ~87,000 m³.</t>
  </si>
  <si>
    <t xml:space="preserve">Standard published value for refrigerated liquid ammonia; no primary citation logged yet.</t>
  </si>
  <si>
    <t xml:space="preserve">Matched to the LH2 side for comparability.</t>
  </si>
  <si>
    <t xml:space="preserve">knot</t>
  </si>
  <si>
    <t xml:space="preserve">User-specified. Converted to km/h below.</t>
  </si>
  <si>
    <t xml:space="preserve">  → converted speed</t>
  </si>
  <si>
    <t xml:space="preserve">13 kn × 1.852 = 24.076 km/h</t>
  </si>
  <si>
    <t xml:space="preserve">Matched to the LH2 carrier's disclosed range for comparability.</t>
  </si>
  <si>
    <t xml:space="preserve">User selected the 0.10–0.20%/day range; midpoint used as the point default.</t>
  </si>
  <si>
    <t xml:space="preserve">User-specified.</t>
  </si>
  <si>
    <t xml:space="preserve">Re-liquefaction energy</t>
  </si>
  <si>
    <t xml:space="preserve">kWh/kg BOG</t>
  </si>
  <si>
    <t xml:space="preserve">Placeholder — no NH3 dataset yet (decision D4).</t>
  </si>
  <si>
    <t xml:space="preserve">Reliquefaction genset efficiency</t>
  </si>
  <si>
    <t xml:space="preserve">Typical medium-speed marine genset efficiency; not vessel-specific.</t>
  </si>
  <si>
    <t xml:space="preserve">SHARED ASSUMPTIONS</t>
  </si>
  <si>
    <t xml:space="preserve">Fleet availability</t>
  </si>
  <si>
    <t xml:space="preserve">Dry-docking / maintenance / weather margin.</t>
  </si>
  <si>
    <t xml:space="preserve">Annual H₂-equivalent demand</t>
  </si>
  <si>
    <t xml:space="preserve">ktpa</t>
  </si>
  <si>
    <t xml:space="preserve">Study basis — quantity handed to the ships, not upstream production.</t>
  </si>
  <si>
    <t xml:space="preserve">NH₃ : H₂ stoichiometric ratio</t>
  </si>
  <si>
    <t xml:space="preserve">kg/kg</t>
  </si>
  <si>
    <t xml:space="preserve">First-principles: N₂ + 3H₂ → 2NH₃.</t>
  </si>
  <si>
    <t xml:space="preserve">VLSFO lower heating value</t>
  </si>
  <si>
    <t xml:space="preserve">MJ/kg</t>
  </si>
  <si>
    <t xml:space="preserve">Marine convention for (very-low-sulphur) fuel oil.</t>
  </si>
  <si>
    <t xml:space="preserve">H₂ lower heating value</t>
  </si>
  <si>
    <t xml:space="preserve">data/properties/lh2-properties.csv, pending NIST/ISO citation.</t>
  </si>
  <si>
    <t xml:space="preserve">BOG vs oil engine efficiency ratio</t>
  </si>
  <si>
    <t xml:space="preserve">Thermal efficiency burning cargo boil-off vs burning liquid bunker fuel in the same engine. 1.0 = identical.</t>
  </si>
  <si>
    <t xml:space="preserve">Vented H₂ warming potential (GWP100)</t>
  </si>
  <si>
    <t xml:space="preserve">kgCO2e/kg</t>
  </si>
  <si>
    <t xml:space="preserve">Wide published uncertainty band, no primary citation logged. Applies only if disposal below = Vented — a gas combustion unit burns it to water instead.</t>
  </si>
  <si>
    <t xml:space="preserve">PRICES  &amp;  MODE  (set by you — nothing here is a repository default)</t>
  </si>
  <si>
    <t xml:space="preserve">Hydrogen value</t>
  </si>
  <si>
    <t xml:space="preserve">USD/kg</t>
  </si>
  <si>
    <t xml:space="preserve">Not logged anywhere in the repository. The model reports a breakeven price rather than asserting one.</t>
  </si>
  <si>
    <t xml:space="preserve">VLSFO price</t>
  </si>
  <si>
    <t xml:space="preserve">USD/t</t>
  </si>
  <si>
    <t xml:space="preserve">Not logged in the repository.</t>
  </si>
  <si>
    <t xml:space="preserve">Cost basis mode</t>
  </si>
  <si>
    <t xml:space="preserve">Boil-off only</t>
  </si>
  <si>
    <t xml:space="preserve">choice</t>
  </si>
  <si>
    <t xml:space="preserve">CHOICE</t>
  </si>
  <si>
    <t xml:space="preserve">"Boil-off only" charges each carrier just what its boil-off costs. "Full leg fuel bill" adds the whole propulsion duty each ship buys — kept because the two laden legs differ in length, so that term does not cleanly cancel.</t>
  </si>
  <si>
    <t xml:space="preserve">Surplus boil-off disposal</t>
  </si>
  <si>
    <t xml:space="preserve">Vented</t>
  </si>
  <si>
    <t xml:space="preserve">Boil-off above the engine's demand cannot be used for propulsion regardless. "GCU burned" oxidises it to water (KHI reply Q26) instead of releasing it — the hydrogen is lost from cargo either way; only the CO2e line changes.</t>
  </si>
  <si>
    <t xml:space="preserve">Boil-off fate basis (Sens - Boiloff sheet)</t>
  </si>
  <si>
    <t xml:space="preserve">Per laden leg</t>
  </si>
  <si>
    <t xml:space="preserve">Switches the "fate of the boil-off" table/chart between totals for the whole one-way route and a daily rate.</t>
  </si>
  <si>
    <t xml:space="preserve">Duty scaling exponent (Decision Map sheet)</t>
  </si>
  <si>
    <t xml:space="preserve">exponent</t>
  </si>
  <si>
    <t xml:space="preserve">How LH2 propulsion duty scales with hull size when the Decision Map sweeps capacity, anchored on the 24,000 m³ / 25 t/day pair. 0 = duty fixed; 0.667 = resistance ≈ wetted area (default); 1 = duty ∝ cargo (coverage constant, size drops out). No power curve is held for any vessel.</t>
  </si>
  <si>
    <t xml:space="preserve">SUGGESTED DUTY  (informational only — not applied automatically)</t>
  </si>
  <si>
    <t xml:space="preserve">Suggested LH₂ duty at the selected capacity</t>
  </si>
  <si>
    <t xml:space="preserve">size^⅔ (resistance) scaling from the 24,000 m³ / 25 t/day ammonia basis; copy into the LH2 duty cell above if you want to use it.</t>
  </si>
  <si>
    <t xml:space="preserve">Suggested NH₃ duty at the selected capacity</t>
  </si>
  <si>
    <t xml:space="preserve">Same scaling rule, evaluated at the NH3 capacity selected above.</t>
  </si>
  <si>
    <t xml:space="preserve">Voyage Model</t>
  </si>
  <si>
    <t xml:space="preserve">One voyage, both carriers, at the current Inputs. Every downstream sheet reads from here or recomputes the same formulas at swept values.</t>
  </si>
  <si>
    <t xml:space="preserve">Metric</t>
  </si>
  <si>
    <t xml:space="preserve">LH₂ carrier</t>
  </si>
  <si>
    <t xml:space="preserve">NH₃ carrier</t>
  </si>
  <si>
    <t xml:space="preserve">Note</t>
  </si>
  <si>
    <t xml:space="preserve">VOYAGE  &amp;  THROUGHPUT</t>
  </si>
  <si>
    <t xml:space="preserve">One-way transit</t>
  </si>
  <si>
    <t xml:space="preserve">Round-trip cycle</t>
  </si>
  <si>
    <t xml:space="preserve">Cargo loaded per voyage</t>
  </si>
  <si>
    <t xml:space="preserve">kg</t>
  </si>
  <si>
    <t xml:space="preserve">Boil-off fraction (compounding, laden leg)</t>
  </si>
  <si>
    <t xml:space="preserve">Compounding daily loss over the one-way laden leg only (matches src/lh2/chain_energy.py's voyage_days() convention).</t>
  </si>
  <si>
    <t xml:space="preserve">Cargo mass-loss fraction</t>
  </si>
  <si>
    <t xml:space="preserve">LH2 burns boil-off as fuel → cargo mass lost = boil-off fraction. NH3 re-liquefies on board → no mass loss (energy cost instead, costed below).</t>
  </si>
  <si>
    <t xml:space="preserve">Delivered cargo per voyage</t>
  </si>
  <si>
    <t xml:space="preserve">Trips per vessel-year</t>
  </si>
  <si>
    <t xml:space="preserve">trips/y</t>
  </si>
  <si>
    <t xml:space="preserve">Annual delivered cargo per vessel</t>
  </si>
  <si>
    <t xml:space="preserve">kg/y</t>
  </si>
  <si>
    <t xml:space="preserve">Annual delivered H₂-equivalent per vessel</t>
  </si>
  <si>
    <t xml:space="preserve">Fleet size for the stated annual demand</t>
  </si>
  <si>
    <t xml:space="preserve">vessels</t>
  </si>
  <si>
    <t xml:space="preserve">Ships must LOAD enough cargo, net of voyage loss, to meet the delivered H2-equivalent demand.</t>
  </si>
  <si>
    <t xml:space="preserve">BUNKER FUEL  &amp;  BOIL-OFF BALANCE</t>
  </si>
  <si>
    <t xml:space="preserve">Propulsion energy demand (laden leg)</t>
  </si>
  <si>
    <t xml:space="preserve">MJ</t>
  </si>
  <si>
    <t xml:space="preserve">Boil-off generated (laden leg)</t>
  </si>
  <si>
    <t xml:space="preserve">Boil-off energy available to burn</t>
  </si>
  <si>
    <t xml:space="preserve">NH3 does not burn its boil-off for propulsion — it re-liquefies it (see reliquefaction fuel row below).</t>
  </si>
  <si>
    <t xml:space="preserve">  — useful (displaces VLSFO)</t>
  </si>
  <si>
    <t xml:space="preserve">  — surplus (cannot be used for propulsion)</t>
  </si>
  <si>
    <t xml:space="preserve">Boil-off covers this share of propulsion demand</t>
  </si>
  <si>
    <t xml:space="preserve">Above 100%, the surplus is wasted. Below 100%, top-up VLSFO is still bought.</t>
  </si>
  <si>
    <t xml:space="preserve">  — useful boil-off mass</t>
  </si>
  <si>
    <t xml:space="preserve">  — surplus boil-off mass</t>
  </si>
  <si>
    <t xml:space="preserve">Top-up VLSFO bought</t>
  </si>
  <si>
    <t xml:space="preserve">t</t>
  </si>
  <si>
    <t xml:space="preserve">NH3 always buys its full propulsion duty in bunker fuel — its boil-off is re-liquefied, never burned for propulsion.</t>
  </si>
  <si>
    <t xml:space="preserve">VLSFO displaced by boil-off</t>
  </si>
  <si>
    <t xml:space="preserve">Reliquefaction electricity required</t>
  </si>
  <si>
    <t xml:space="preserve">kWh</t>
  </si>
  <si>
    <t xml:space="preserve">Reliquefaction VLSFO (via genset)</t>
  </si>
  <si>
    <t xml:space="preserve">Total VLSFO purchased</t>
  </si>
  <si>
    <t xml:space="preserve">Cargo mass lost to boil-off</t>
  </si>
  <si>
    <t xml:space="preserve">0 for NH3: re-liquefaction conserves cargo mass.</t>
  </si>
  <si>
    <t xml:space="preserve">Delivered H₂-equivalent, this voyage</t>
  </si>
  <si>
    <t xml:space="preserve">CO₂e if surplus is vented</t>
  </si>
  <si>
    <t xml:space="preserve">kg CO2e</t>
  </si>
  <si>
    <t xml:space="preserve">0 whenever disposal = "GCU burned": the gas combustion unit oxidises surplus H2 to water (KHI reply Q26); the hydrogen is still lost from cargo either way.</t>
  </si>
  <si>
    <t xml:space="preserve">COST PER KG H₂ DELIVERED</t>
  </si>
  <si>
    <t xml:space="preserve">Hydrogen given up, priced as fuel</t>
  </si>
  <si>
    <t xml:space="preserve">USD</t>
  </si>
  <si>
    <t xml:space="preserve">Fuel cost — boil-off only basis</t>
  </si>
  <si>
    <t xml:space="preserve">LH2: negative (a credit) — the VLSFO its own boil-off displaced. NH3: the genset fuel to re-liquefy.</t>
  </si>
  <si>
    <t xml:space="preserve">Fuel cost — full leg fuel bill basis</t>
  </si>
  <si>
    <t xml:space="preserve">Fuel cost — ACTIVE (per Inputs mode)</t>
  </si>
  <si>
    <t xml:space="preserve">Total cost, active mode</t>
  </si>
  <si>
    <t xml:space="preserve">Cost per kg H₂ delivered, active mode</t>
  </si>
  <si>
    <t xml:space="preserve">BREAKEVENS  (closed-form; all relationships here invert algebraically)</t>
  </si>
  <si>
    <t xml:space="preserve">Read</t>
  </si>
  <si>
    <t xml:space="preserve">LH₂ boil-off rate at which annual throughput matches NH₃</t>
  </si>
  <si>
    <t xml:space="preserve">Above this BOR, NH3 delivers more annual H2-eq per vessel than LH2; below it, LH2 does. Solved in closed form: bog_frac=1-(1-bor)^days is monotonic and invertible.</t>
  </si>
  <si>
    <t xml:space="preserve">LH₂ boil-off rate at which boil-off exactly meets fuel demand</t>
  </si>
  <si>
    <t xml:space="preserve">Below this BOR, the ship still buys top-up VLSFO. Above it, the surplus boil-off cannot be used for propulsion and is disposed of.</t>
  </si>
  <si>
    <t xml:space="preserve">NH₃ speed at which annual throughput matches LH₂</t>
  </si>
  <si>
    <t xml:space="preserve">Holds NH3 capacity/BOR at their Inputs values. NH3 throughput does not depend on its own BOR (re-liquefaction loses no cargo), only on trip frequency.</t>
  </si>
  <si>
    <t xml:space="preserve">  → in knots</t>
  </si>
  <si>
    <t xml:space="preserve">NH₃ capacity at which annual throughput matches LH₂</t>
  </si>
  <si>
    <t xml:space="preserve">Holds NH3 speed/port time/BOR at their Inputs values.</t>
  </si>
  <si>
    <t xml:space="preserve">Hydrogen value at which boil-off cost per kg is equal (active mode)</t>
  </si>
  <si>
    <t xml:space="preserve">Below this value, LH2 is the cheaper carrier on the active cost basis; above it, ammonia is. Exact algebraic inversion — LH2 cost is linear in the H2 price.</t>
  </si>
  <si>
    <t xml:space="preserve">Sensitivity — Distance</t>
  </si>
  <si>
    <t xml:space="preserve">Annual H₂-equivalent delivered per vessel against one-way distance, at the current LH2/NH3 vessel specs. Distance alone does not flip the winner in the realistic range.</t>
  </si>
  <si>
    <t xml:space="preserve">Distance (km)</t>
  </si>
  <si>
    <t xml:space="preserve">LH₂ (ktpa/vessel)</t>
  </si>
  <si>
    <t xml:space="preserve">NH₃ (ktpa/vessel)</t>
  </si>
  <si>
    <t xml:space="preserve">LH₂ fleet size</t>
  </si>
  <si>
    <t xml:space="preserve">NH₃ fleet size</t>
  </si>
  <si>
    <t xml:space="preserve">Suez reference: 10,260 km. Cape reference (primary): 21,200 km.</t>
  </si>
  <si>
    <t xml:space="preserve">Sensitivity — LH₂ Boil-off Rate</t>
  </si>
  <si>
    <t xml:space="preserve">At the current distance and LH2 vessel: does cargo boil-off cover the propulsion duty, and where does the boiled-off hydrogen actually go?</t>
  </si>
  <si>
    <t xml:space="preserve">LH₂ BOR (%/day)</t>
  </si>
  <si>
    <t xml:space="preserve">Covers demand (%)</t>
  </si>
  <si>
    <t xml:space="preserve">Useful (t, active basis)</t>
  </si>
  <si>
    <t xml:space="preserve">Surplus (t, active basis)</t>
  </si>
  <si>
    <t xml:space="preserve">VLSFO bought (t, active basis)</t>
  </si>
  <si>
    <t xml:space="preserve">Column B: 100% = boil-off exactly meets propulsion demand.</t>
  </si>
  <si>
    <t xml:space="preserve">RSER-2026 literature reference (unpromoted): ~3.44%/day for a comparable vessel class.</t>
  </si>
  <si>
    <t xml:space="preserve">Sensitivity — Hydrogen Value</t>
  </si>
  <si>
    <t xml:space="preserve">Cost of managing boil-off (active mode) per kg H₂ delivered, against the value placed on delivered hydrogen. At the current distance, LH2 vessel and NH3 vessel.</t>
  </si>
  <si>
    <t xml:space="preserve">H₂ value (USD/kg)</t>
  </si>
  <si>
    <t xml:space="preserve">LH₂ cost (USD/kg)</t>
  </si>
  <si>
    <t xml:space="preserve">NH₃ cost (USD/kg)</t>
  </si>
  <si>
    <t xml:space="preserve">Breakeven H₂ value (active mode): see Voyage Model!$B$51</t>
  </si>
  <si>
    <t xml:space="preserve">Decision Map — Hydrogen Value × LH₂ Vessel Size</t>
  </si>
  <si>
    <t xml:space="preserve">At what hydrogen price and LH2 hull size does LH2 beat ammonia on boil-off cost? Grid = LH2 cost minus NH3 cost, USD/kg (negative/green = LH2 cheaper). Duty scales with hull size per the Inputs exponent, anchored on the LH2 vessel's own selected capacity/duty pair (Inputs).</t>
  </si>
  <si>
    <t xml:space="preserve">LH₂ capacity (m³)</t>
  </si>
  <si>
    <t xml:space="preserve">Duty at this size (t/day)</t>
  </si>
  <si>
    <t xml:space="preserve">Parity H₂ price (USD/kg)</t>
  </si>
  <si>
    <t xml:space="preserve">Green = LH₂ cheaper. Red = NH₃ cheaper. White ≈ parity. Column C is the exact parity price per row (closed-form).</t>
  </si>
  <si>
    <t xml:space="preserve">The 40,000 m³ and 60,000... rows above land on exact 10,000 m³ steps; 160,000 m³ is included as a grid row too.</t>
  </si>
  <si>
    <t xml:space="preserve">NH₃ reference cost (active mode, current NH3 vessel/price): 'Voyage Model'!$D$42</t>
  </si>
  <si>
    <t xml:space="preserve">NH₃ Vessel Scenarios</t>
  </si>
  <si>
    <t xml:space="preserve">How many ammonia ships of each size equal one LH2 carrier at the current LH2 capacity/route? Speed, port time and BOR held at their Inputs values — only capacity varies here.</t>
  </si>
  <si>
    <t xml:space="preserve">NH₃ capacity (m³)</t>
  </si>
  <si>
    <t xml:space="preserve">Annual H₂-eq (ktpa/vessel)</t>
  </si>
  <si>
    <t xml:space="preserve">vs 1 LH₂ ship</t>
  </si>
  <si>
    <t xml:space="preserve">NH₃ ships per LH₂ ship</t>
  </si>
  <si>
    <t xml:space="preserve">"1 LH₂ ship" uses the LH2 vessel currently selected on the Inputs sheet.</t>
  </si>
  <si>
    <t xml:space="preserve">Sources &amp; Assumptions</t>
  </si>
  <si>
    <t xml:space="preserve">Every quantitative input in this workbook is cited, or tagged ASSUMPTION/ESTIMATE per CLAUDE.md §4 — no number here is fabricated.</t>
  </si>
  <si>
    <t xml:space="preserve">Meaning</t>
  </si>
  <si>
    <t xml:space="preserve">Appears on</t>
  </si>
  <si>
    <t xml:space="preserve">Traceable to a named source (e.g. a Kawasaki Heavy Industries questionnaire reply, or their cost-basis slide).</t>
  </si>
  <si>
    <t xml:space="preserve">LH2 capacity, speed, port time — KHI questionnaire/supplemental replies Q23/Q27/Q29/Q33.</t>
  </si>
  <si>
    <t xml:space="preserve">A value deliberately chosen to proceed, stated explicitly.</t>
  </si>
  <si>
    <t xml:space="preserve">NH3 vessel specs, fleet availability, fill fractions, engine efficiency ratios, the duty-scaling exponent.</t>
  </si>
  <si>
    <t xml:space="preserve">A rough figure that should be replaced with a sourced one.</t>
  </si>
  <si>
    <t xml:space="preserve">Voyage boil-off rates, VLSFO LHV, NH3 density, vented-H2 GWP100, reliquefaction energy.</t>
  </si>
  <si>
    <t xml:space="preserve">A figure this repository has not yet formally cited.</t>
  </si>
  <si>
    <t xml:space="preserve">H2/LH2 LHV and density (pending NIST/CODATA/ISO citation approval).</t>
  </si>
  <si>
    <t xml:space="preserve">A structural toggle you set, not a physical quantity.</t>
  </si>
  <si>
    <t xml:space="preserve">Cost basis mode, surplus disposal, boil-off fate basis.</t>
  </si>
  <si>
    <t xml:space="preserve">PRIMARY SOURCES</t>
  </si>
  <si>
    <t xml:space="preserve">• Kawasaki Heavy Industries questionnaire replies (kawasaki-2026-questionnaire) — LH2 vessel capacity (40,000 / 160,000 m³), service speed (29.6 km/h), port time (1–1.5 days), BOG-as-fuel disposition, gas-combustion-unit surplus handling.</t>
  </si>
  <si>
    <t xml:space="preserve">• Kawasaki cost-basis supplemental slide (kawasaki-2026-supplemental) — 160,000 m³ commercial-scale target vessel, service speed.</t>
  </si>
  <si>
    <t xml:space="preserve">• docs/comparison/02-shipping-lh2-vs-nh3.md — full write-up of every pass of this study, including the fuel-balance derivation and the decision-map method.</t>
  </si>
  <si>
    <t xml:space="preserve">• scripts/run_shipping_comparison.py, src/lh2/shipping.py — the Python reference implementation this workbook mirrors formula-for-formula.</t>
  </si>
  <si>
    <t xml:space="preserve">• data/vessels/nh3-carriers.csv, data/routes/kakinada-hamburg.csv — the repository's tagged data tables for the ammonia vessel and the corridor distance.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</si>
</sst>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@"/>
    <numFmt numFmtId="166" formatCode="#,##0.0&quot; ktpa&quot;"/>
    <numFmt numFmtId="167" formatCode="0.00\×"/>
    <numFmt numFmtId="168" formatCode="0%"/>
    <numFmt numFmtId="169" formatCode="\$#,##0.000"/>
    <numFmt numFmtId="170" formatCode="0.000%"/>
    <numFmt numFmtId="171" formatCode="\$#,##0.00"/>
    <numFmt numFmtId="172" formatCode="#,##0&quot; m³&quot;"/>
    <numFmt numFmtId="173" formatCode="#,##0"/>
    <numFmt numFmtId="174" formatCode="#,##0.0"/>
    <numFmt numFmtId="175" formatCode="0.0%"/>
    <numFmt numFmtId="176" formatCode="0.00"/>
    <numFmt numFmtId="177" formatCode="0.0"/>
    <numFmt numFmtId="178" formatCode="#,##0.000"/>
    <numFmt numFmtId="179" formatCode="0.000"/>
    <numFmt numFmtId="180" formatCode="\$#,##0"/>
    <numFmt numFmtId="181" formatCode="#,##0.00"/>
    <numFmt numFmtId="182" formatCode="0"/>
    <numFmt numFmtId="183" formatCode="\$#,##0.0000"/>
    <numFmt numFmtId="184" formatCode="0.0000"/>
    <numFmt numFmtId="185" formatCode="0.000000"/>
    <numFmt numFmtId="186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8"/>
      <color rgb="FF6B72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F2F6FB"/>
        <bgColor rgb="FFF9F9F9"/>
      </patternFill>
    </fill>
    <fill>
      <patternFill patternType="solid">
        <fgColor rgb="FFDDEBF7"/>
        <bgColor rgb="FFD9EEF5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BEACB"/>
      </patternFill>
    </fill>
    <fill>
      <patternFill patternType="solid">
        <fgColor rgb="FFD9EEF5"/>
        <bgColor rgb="FFDDEBF7"/>
      </patternFill>
    </fill>
    <fill>
      <patternFill patternType="solid">
        <fgColor rgb="FFE2EFDA"/>
        <bgColor rgb="FFD9EEF5"/>
      </patternFill>
    </fill>
    <fill>
      <patternFill patternType="solid">
        <fgColor rgb="FFFBEACB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60B"/>
      <rgbColor rgb="FF800080"/>
      <rgbColor rgb="FF0C7C9E"/>
      <rgbColor rgb="FFB7C4D6"/>
      <rgbColor rgb="FF878787"/>
      <rgbColor rgb="FF9999FF"/>
      <rgbColor rgb="FFB3453A"/>
      <rgbColor rgb="FFFFF2CC"/>
      <rgbColor rgb="FFD9EE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BEACB"/>
      <rgbColor rgb="FFF9F9F9"/>
      <rgbColor rgb="FFFF99CC"/>
      <rgbColor rgb="FFCC99FF"/>
      <rgbColor rgb="FFF2F6FB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H₂-equivalent delivered per vessel vs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'Sens - Distance'!B4</c:f>
              <c:strCache>
                <c:ptCount val="1"/>
                <c:pt idx="0">
                  <c:v>LH₂ (ktpa/vessel)</c:v>
                </c:pt>
              </c:strCache>
            </c:strRef>
          </c:tx>
          <c:spPr>
            <a:solidFill>
              <a:srgbClr val="0c7c9e"/>
            </a:solidFill>
            <a:ln w="21960">
              <a:solidFill>
                <a:srgbClr val="0c7c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Distance'!$A$5:$A$44</c:f>
              <c:strCache>
                <c:ptCount val="40"/>
                <c:pt idx="0">
                  <c:v>1,000</c:v>
                </c:pt>
                <c:pt idx="1">
                  <c:v>2,000</c:v>
                </c:pt>
                <c:pt idx="2">
                  <c:v>3,000</c:v>
                </c:pt>
                <c:pt idx="3">
                  <c:v>4,000</c:v>
                </c:pt>
                <c:pt idx="4">
                  <c:v>5,000</c:v>
                </c:pt>
                <c:pt idx="5">
                  <c:v>6,000</c:v>
                </c:pt>
                <c:pt idx="6">
                  <c:v>7,000</c:v>
                </c:pt>
                <c:pt idx="7">
                  <c:v>8,000</c:v>
                </c:pt>
                <c:pt idx="8">
                  <c:v>9,000</c:v>
                </c:pt>
                <c:pt idx="9">
                  <c:v>10,000</c:v>
                </c:pt>
                <c:pt idx="10">
                  <c:v>11,000</c:v>
                </c:pt>
                <c:pt idx="11">
                  <c:v>12,000</c:v>
                </c:pt>
                <c:pt idx="12">
                  <c:v>13,000</c:v>
                </c:pt>
                <c:pt idx="13">
                  <c:v>14,000</c:v>
                </c:pt>
                <c:pt idx="14">
                  <c:v>15,000</c:v>
                </c:pt>
                <c:pt idx="15">
                  <c:v>16,000</c:v>
                </c:pt>
                <c:pt idx="16">
                  <c:v>17,000</c:v>
                </c:pt>
                <c:pt idx="17">
                  <c:v>18,000</c:v>
                </c:pt>
                <c:pt idx="18">
                  <c:v>19,000</c:v>
                </c:pt>
                <c:pt idx="19">
                  <c:v>20,000</c:v>
                </c:pt>
                <c:pt idx="20">
                  <c:v>21,000</c:v>
                </c:pt>
                <c:pt idx="21">
                  <c:v>22,000</c:v>
                </c:pt>
                <c:pt idx="22">
                  <c:v>23,000</c:v>
                </c:pt>
                <c:pt idx="23">
                  <c:v>24,000</c:v>
                </c:pt>
                <c:pt idx="24">
                  <c:v>25,000</c:v>
                </c:pt>
                <c:pt idx="25">
                  <c:v>26,000</c:v>
                </c:pt>
                <c:pt idx="26">
                  <c:v>27,000</c:v>
                </c:pt>
                <c:pt idx="27">
                  <c:v>28,000</c:v>
                </c:pt>
                <c:pt idx="28">
                  <c:v>29,000</c:v>
                </c:pt>
                <c:pt idx="29">
                  <c:v>30,000</c:v>
                </c:pt>
                <c:pt idx="30">
                  <c:v>31,000</c:v>
                </c:pt>
                <c:pt idx="31">
                  <c:v>32,000</c:v>
                </c:pt>
                <c:pt idx="32">
                  <c:v>33,000</c:v>
                </c:pt>
                <c:pt idx="33">
                  <c:v>34,000</c:v>
                </c:pt>
                <c:pt idx="34">
                  <c:v>35,000</c:v>
                </c:pt>
                <c:pt idx="35">
                  <c:v>36,000</c:v>
                </c:pt>
                <c:pt idx="36">
                  <c:v>37,000</c:v>
                </c:pt>
                <c:pt idx="37">
                  <c:v>38,000</c:v>
                </c:pt>
                <c:pt idx="38">
                  <c:v>39,000</c:v>
                </c:pt>
                <c:pt idx="39">
                  <c:v>40,000</c:v>
                </c:pt>
              </c:strCache>
            </c:strRef>
          </c:cat>
          <c:val>
            <c:numRef>
              <c:f>'Sens - Distance'!$B$5:$B$44</c:f>
              <c:numCache>
                <c:formatCode>#,##0.00</c:formatCode>
                <c:ptCount val="40"/>
                <c:pt idx="0">
                  <c:v>684.166423734576</c:v>
                </c:pt>
                <c:pt idx="1">
                  <c:v>446.008009279123</c:v>
                </c:pt>
                <c:pt idx="2">
                  <c:v>330.36169837971</c:v>
                </c:pt>
                <c:pt idx="3">
                  <c:v>262.035932227776</c:v>
                </c:pt>
                <c:pt idx="4">
                  <c:v>216.920374045204</c:v>
                </c:pt>
                <c:pt idx="5">
                  <c:v>184.906044079611</c:v>
                </c:pt>
                <c:pt idx="6">
                  <c:v>161.010220069752</c:v>
                </c:pt>
                <c:pt idx="7">
                  <c:v>142.492629025906</c:v>
                </c:pt>
                <c:pt idx="8">
                  <c:v>127.721522638671</c:v>
                </c:pt>
                <c:pt idx="9">
                  <c:v>115.664619288348</c:v>
                </c:pt>
                <c:pt idx="10">
                  <c:v>105.636973034785</c:v>
                </c:pt>
                <c:pt idx="11">
                  <c:v>97.166222034668</c:v>
                </c:pt>
                <c:pt idx="12">
                  <c:v>89.9160533683904</c:v>
                </c:pt>
                <c:pt idx="13">
                  <c:v>83.6405122408366</c:v>
                </c:pt>
                <c:pt idx="14">
                  <c:v>78.1555660157042</c:v>
                </c:pt>
                <c:pt idx="15">
                  <c:v>73.3207710325167</c:v>
                </c:pt>
                <c:pt idx="16">
                  <c:v>69.0270887470897</c:v>
                </c:pt>
                <c:pt idx="17">
                  <c:v>65.1885722212762</c:v>
                </c:pt>
                <c:pt idx="18">
                  <c:v>61.7365607111402</c:v>
                </c:pt>
                <c:pt idx="19">
                  <c:v>58.6155418379986</c:v>
                </c:pt>
                <c:pt idx="20">
                  <c:v>55.7801480327527</c:v>
                </c:pt>
                <c:pt idx="21">
                  <c:v>53.1929403506314</c:v>
                </c:pt>
                <c:pt idx="22">
                  <c:v>50.822748929922</c:v>
                </c:pt>
                <c:pt idx="23">
                  <c:v>48.6434135329731</c:v>
                </c:pt>
                <c:pt idx="24">
                  <c:v>46.6328159890053</c:v>
                </c:pt>
                <c:pt idx="25">
                  <c:v>44.77212854525</c:v>
                </c:pt>
                <c:pt idx="26">
                  <c:v>43.0452239325596</c:v>
                </c:pt>
                <c:pt idx="27">
                  <c:v>41.4382079596222</c:v>
                </c:pt>
                <c:pt idx="28">
                  <c:v>39.9390459386378</c:v>
                </c:pt>
                <c:pt idx="29">
                  <c:v>38.5372616778795</c:v>
                </c:pt>
                <c:pt idx="30">
                  <c:v>37.2236931113791</c:v>
                </c:pt>
                <c:pt idx="31">
                  <c:v>35.9902925108891</c:v>
                </c:pt>
                <c:pt idx="32">
                  <c:v>34.8299620710802</c:v>
                </c:pt>
                <c:pt idx="33">
                  <c:v>33.736417770617</c:v>
                </c:pt>
                <c:pt idx="34">
                  <c:v>32.7040759938647</c:v>
                </c:pt>
                <c:pt idx="35">
                  <c:v>31.7279585940884</c:v>
                </c:pt>
                <c:pt idx="36">
                  <c:v>30.803612990985</c:v>
                </c:pt>
                <c:pt idx="37">
                  <c:v>29.9270445963064</c:v>
                </c:pt>
                <c:pt idx="38">
                  <c:v>29.0946594040998</c:v>
                </c:pt>
                <c:pt idx="39">
                  <c:v>28.3032150053902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'Sens - Distance'!C4</c:f>
              <c:strCache>
                <c:ptCount val="1"/>
                <c:pt idx="0">
                  <c:v>NH₃ (ktpa/vessel)</c:v>
                </c:pt>
              </c:strCache>
            </c:strRef>
          </c:tx>
          <c:spPr>
            <a:solidFill>
              <a:srgbClr val="a9660b"/>
            </a:solidFill>
            <a:ln w="21960">
              <a:solidFill>
                <a:srgbClr val="a966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Distance'!$A$5:$A$44</c:f>
              <c:strCache>
                <c:ptCount val="40"/>
                <c:pt idx="0">
                  <c:v>1,000</c:v>
                </c:pt>
                <c:pt idx="1">
                  <c:v>2,000</c:v>
                </c:pt>
                <c:pt idx="2">
                  <c:v>3,000</c:v>
                </c:pt>
                <c:pt idx="3">
                  <c:v>4,000</c:v>
                </c:pt>
                <c:pt idx="4">
                  <c:v>5,000</c:v>
                </c:pt>
                <c:pt idx="5">
                  <c:v>6,000</c:v>
                </c:pt>
                <c:pt idx="6">
                  <c:v>7,000</c:v>
                </c:pt>
                <c:pt idx="7">
                  <c:v>8,000</c:v>
                </c:pt>
                <c:pt idx="8">
                  <c:v>9,000</c:v>
                </c:pt>
                <c:pt idx="9">
                  <c:v>10,000</c:v>
                </c:pt>
                <c:pt idx="10">
                  <c:v>11,000</c:v>
                </c:pt>
                <c:pt idx="11">
                  <c:v>12,000</c:v>
                </c:pt>
                <c:pt idx="12">
                  <c:v>13,000</c:v>
                </c:pt>
                <c:pt idx="13">
                  <c:v>14,000</c:v>
                </c:pt>
                <c:pt idx="14">
                  <c:v>15,000</c:v>
                </c:pt>
                <c:pt idx="15">
                  <c:v>16,000</c:v>
                </c:pt>
                <c:pt idx="16">
                  <c:v>17,000</c:v>
                </c:pt>
                <c:pt idx="17">
                  <c:v>18,000</c:v>
                </c:pt>
                <c:pt idx="18">
                  <c:v>19,000</c:v>
                </c:pt>
                <c:pt idx="19">
                  <c:v>20,000</c:v>
                </c:pt>
                <c:pt idx="20">
                  <c:v>21,000</c:v>
                </c:pt>
                <c:pt idx="21">
                  <c:v>22,000</c:v>
                </c:pt>
                <c:pt idx="22">
                  <c:v>23,000</c:v>
                </c:pt>
                <c:pt idx="23">
                  <c:v>24,000</c:v>
                </c:pt>
                <c:pt idx="24">
                  <c:v>25,000</c:v>
                </c:pt>
                <c:pt idx="25">
                  <c:v>26,000</c:v>
                </c:pt>
                <c:pt idx="26">
                  <c:v>27,000</c:v>
                </c:pt>
                <c:pt idx="27">
                  <c:v>28,000</c:v>
                </c:pt>
                <c:pt idx="28">
                  <c:v>29,000</c:v>
                </c:pt>
                <c:pt idx="29">
                  <c:v>30,000</c:v>
                </c:pt>
                <c:pt idx="30">
                  <c:v>31,000</c:v>
                </c:pt>
                <c:pt idx="31">
                  <c:v>32,000</c:v>
                </c:pt>
                <c:pt idx="32">
                  <c:v>33,000</c:v>
                </c:pt>
                <c:pt idx="33">
                  <c:v>34,000</c:v>
                </c:pt>
                <c:pt idx="34">
                  <c:v>35,000</c:v>
                </c:pt>
                <c:pt idx="35">
                  <c:v>36,000</c:v>
                </c:pt>
                <c:pt idx="36">
                  <c:v>37,000</c:v>
                </c:pt>
                <c:pt idx="37">
                  <c:v>38,000</c:v>
                </c:pt>
                <c:pt idx="38">
                  <c:v>39,000</c:v>
                </c:pt>
                <c:pt idx="39">
                  <c:v>40,000</c:v>
                </c:pt>
              </c:strCache>
            </c:strRef>
          </c:cat>
          <c:val>
            <c:numRef>
              <c:f>'Sens - Distance'!$C$5:$C$44</c:f>
              <c:numCache>
                <c:formatCode>#,##0.00</c:formatCode>
                <c:ptCount val="40"/>
                <c:pt idx="0">
                  <c:v>144.802845964828</c:v>
                </c:pt>
                <c:pt idx="1">
                  <c:v>94.2914469504691</c:v>
                </c:pt>
                <c:pt idx="2">
                  <c:v>69.9061651648833</c:v>
                </c:pt>
                <c:pt idx="3">
                  <c:v>55.5420892904403</c:v>
                </c:pt>
                <c:pt idx="4">
                  <c:v>46.0747995929935</c:v>
                </c:pt>
                <c:pt idx="5">
                  <c:v>39.3649450721566</c:v>
                </c:pt>
                <c:pt idx="6">
                  <c:v>34.3609707336054</c:v>
                </c:pt>
                <c:pt idx="7">
                  <c:v>30.4857035852878</c:v>
                </c:pt>
                <c:pt idx="8">
                  <c:v>27.3959580417476</c:v>
                </c:pt>
                <c:pt idx="9">
                  <c:v>24.874873693904</c:v>
                </c:pt>
                <c:pt idx="10">
                  <c:v>22.7786887198805</c:v>
                </c:pt>
                <c:pt idx="11">
                  <c:v>21.0083338513357</c:v>
                </c:pt>
                <c:pt idx="12">
                  <c:v>19.4933173506007</c:v>
                </c:pt>
                <c:pt idx="13">
                  <c:v>18.1821137783707</c:v>
                </c:pt>
                <c:pt idx="14">
                  <c:v>17.0361872451272</c:v>
                </c:pt>
                <c:pt idx="15">
                  <c:v>16.0261407699154</c:v>
                </c:pt>
                <c:pt idx="16">
                  <c:v>15.1291587598877</c:v>
                </c:pt>
                <c:pt idx="17">
                  <c:v>14.3272628325854</c:v>
                </c:pt>
                <c:pt idx="18">
                  <c:v>13.6060944014659</c:v>
                </c:pt>
                <c:pt idx="19">
                  <c:v>12.9540473155457</c:v>
                </c:pt>
                <c:pt idx="20">
                  <c:v>12.361638493509</c:v>
                </c:pt>
                <c:pt idx="21">
                  <c:v>11.8210436970541</c:v>
                </c:pt>
                <c:pt idx="22">
                  <c:v>11.3257500089246</c:v>
                </c:pt>
                <c:pt idx="23">
                  <c:v>10.8702921631934</c:v>
                </c:pt>
                <c:pt idx="24">
                  <c:v>10.4500500358839</c:v>
                </c:pt>
                <c:pt idx="25">
                  <c:v>10.0610913608933</c:v>
                </c:pt>
                <c:pt idx="26">
                  <c:v>9.70004831082478</c:v>
                </c:pt>
                <c:pt idx="27">
                  <c:v>9.36401973070319</c:v>
                </c:pt>
                <c:pt idx="28">
                  <c:v>9.05049301219256</c:v>
                </c:pt>
                <c:pt idx="29">
                  <c:v>8.75728115421728</c:v>
                </c:pt>
                <c:pt idx="30">
                  <c:v>8.48247167406791</c:v>
                </c:pt>
                <c:pt idx="31">
                  <c:v>8.22438484506037</c:v>
                </c:pt>
                <c:pt idx="32">
                  <c:v>7.98153933301987</c:v>
                </c:pt>
                <c:pt idx="33">
                  <c:v>7.75262374616884</c:v>
                </c:pt>
                <c:pt idx="34">
                  <c:v>7.5364729443181</c:v>
                </c:pt>
                <c:pt idx="35">
                  <c:v>7.33204820369777</c:v>
                </c:pt>
                <c:pt idx="36">
                  <c:v>7.13842052467897</c:v>
                </c:pt>
                <c:pt idx="37">
                  <c:v>6.95475651634344</c:v>
                </c:pt>
                <c:pt idx="38">
                  <c:v>6.78030640544538</c:v>
                </c:pt>
                <c:pt idx="39">
                  <c:v>6.61439380588164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40474"/>
        <c:axId val="17523135"/>
      </c:lineChart>
      <c:catAx>
        <c:axId val="855404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One-way distance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23135"/>
        <c:crosses val="autoZero"/>
        <c:auto val="1"/>
        <c:lblAlgn val="ctr"/>
        <c:lblOffset val="100"/>
        <c:noMultiLvlLbl val="0"/>
      </c:catAx>
      <c:valAx>
        <c:axId val="17523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ktpa H₂-eq per vessel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404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Boil-off energy as a share of propulsion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'Sens - Boiloff'!B4</c:f>
              <c:strCache>
                <c:ptCount val="1"/>
                <c:pt idx="0">
                  <c:v>Covers demand (%)</c:v>
                </c:pt>
              </c:strCache>
            </c:strRef>
          </c:tx>
          <c:spPr>
            <a:solidFill>
              <a:srgbClr val="0c7c9e"/>
            </a:solidFill>
            <a:ln w="21960">
              <a:solidFill>
                <a:srgbClr val="0c7c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Boiloff'!$A$5:$A$85</c:f>
              <c:strCache>
                <c:ptCount val="81"/>
                <c:pt idx="0">
                  <c:v>0.00%</c:v>
                </c:pt>
                <c:pt idx="1">
                  <c:v>0.05%</c:v>
                </c:pt>
                <c:pt idx="2">
                  <c:v>0.10%</c:v>
                </c:pt>
                <c:pt idx="3">
                  <c:v>0.15%</c:v>
                </c:pt>
                <c:pt idx="4">
                  <c:v>0.20%</c:v>
                </c:pt>
                <c:pt idx="5">
                  <c:v>0.25%</c:v>
                </c:pt>
                <c:pt idx="6">
                  <c:v>0.30%</c:v>
                </c:pt>
                <c:pt idx="7">
                  <c:v>0.35%</c:v>
                </c:pt>
                <c:pt idx="8">
                  <c:v>0.40%</c:v>
                </c:pt>
                <c:pt idx="9">
                  <c:v>0.45%</c:v>
                </c:pt>
                <c:pt idx="10">
                  <c:v>0.50%</c:v>
                </c:pt>
                <c:pt idx="11">
                  <c:v>0.55%</c:v>
                </c:pt>
                <c:pt idx="12">
                  <c:v>0.60%</c:v>
                </c:pt>
                <c:pt idx="13">
                  <c:v>0.65%</c:v>
                </c:pt>
                <c:pt idx="14">
                  <c:v>0.70%</c:v>
                </c:pt>
                <c:pt idx="15">
                  <c:v>0.75%</c:v>
                </c:pt>
                <c:pt idx="16">
                  <c:v>0.80%</c:v>
                </c:pt>
                <c:pt idx="17">
                  <c:v>0.85%</c:v>
                </c:pt>
                <c:pt idx="18">
                  <c:v>0.90%</c:v>
                </c:pt>
                <c:pt idx="19">
                  <c:v>0.95%</c:v>
                </c:pt>
                <c:pt idx="20">
                  <c:v>1.00%</c:v>
                </c:pt>
                <c:pt idx="21">
                  <c:v>1.05%</c:v>
                </c:pt>
                <c:pt idx="22">
                  <c:v>1.10%</c:v>
                </c:pt>
                <c:pt idx="23">
                  <c:v>1.15%</c:v>
                </c:pt>
                <c:pt idx="24">
                  <c:v>1.20%</c:v>
                </c:pt>
                <c:pt idx="25">
                  <c:v>1.25%</c:v>
                </c:pt>
                <c:pt idx="26">
                  <c:v>1.30%</c:v>
                </c:pt>
                <c:pt idx="27">
                  <c:v>1.35%</c:v>
                </c:pt>
                <c:pt idx="28">
                  <c:v>1.40%</c:v>
                </c:pt>
                <c:pt idx="29">
                  <c:v>1.45%</c:v>
                </c:pt>
                <c:pt idx="30">
                  <c:v>1.50%</c:v>
                </c:pt>
                <c:pt idx="31">
                  <c:v>1.55%</c:v>
                </c:pt>
                <c:pt idx="32">
                  <c:v>1.60%</c:v>
                </c:pt>
                <c:pt idx="33">
                  <c:v>1.65%</c:v>
                </c:pt>
                <c:pt idx="34">
                  <c:v>1.70%</c:v>
                </c:pt>
                <c:pt idx="35">
                  <c:v>1.75%</c:v>
                </c:pt>
                <c:pt idx="36">
                  <c:v>1.80%</c:v>
                </c:pt>
                <c:pt idx="37">
                  <c:v>1.85%</c:v>
                </c:pt>
                <c:pt idx="38">
                  <c:v>1.90%</c:v>
                </c:pt>
                <c:pt idx="39">
                  <c:v>1.95%</c:v>
                </c:pt>
                <c:pt idx="40">
                  <c:v>2.00%</c:v>
                </c:pt>
                <c:pt idx="41">
                  <c:v>2.05%</c:v>
                </c:pt>
                <c:pt idx="42">
                  <c:v>2.10%</c:v>
                </c:pt>
                <c:pt idx="43">
                  <c:v>2.15%</c:v>
                </c:pt>
                <c:pt idx="44">
                  <c:v>2.20%</c:v>
                </c:pt>
                <c:pt idx="45">
                  <c:v>2.25%</c:v>
                </c:pt>
                <c:pt idx="46">
                  <c:v>2.30%</c:v>
                </c:pt>
                <c:pt idx="47">
                  <c:v>2.35%</c:v>
                </c:pt>
                <c:pt idx="48">
                  <c:v>2.40%</c:v>
                </c:pt>
                <c:pt idx="49">
                  <c:v>2.45%</c:v>
                </c:pt>
                <c:pt idx="50">
                  <c:v>2.50%</c:v>
                </c:pt>
                <c:pt idx="51">
                  <c:v>2.55%</c:v>
                </c:pt>
                <c:pt idx="52">
                  <c:v>2.60%</c:v>
                </c:pt>
                <c:pt idx="53">
                  <c:v>2.65%</c:v>
                </c:pt>
                <c:pt idx="54">
                  <c:v>2.70%</c:v>
                </c:pt>
                <c:pt idx="55">
                  <c:v>2.75%</c:v>
                </c:pt>
                <c:pt idx="56">
                  <c:v>2.80%</c:v>
                </c:pt>
                <c:pt idx="57">
                  <c:v>2.85%</c:v>
                </c:pt>
                <c:pt idx="58">
                  <c:v>2.90%</c:v>
                </c:pt>
                <c:pt idx="59">
                  <c:v>2.95%</c:v>
                </c:pt>
                <c:pt idx="60">
                  <c:v>3.00%</c:v>
                </c:pt>
                <c:pt idx="61">
                  <c:v>3.05%</c:v>
                </c:pt>
                <c:pt idx="62">
                  <c:v>3.10%</c:v>
                </c:pt>
                <c:pt idx="63">
                  <c:v>3.15%</c:v>
                </c:pt>
                <c:pt idx="64">
                  <c:v>3.20%</c:v>
                </c:pt>
                <c:pt idx="65">
                  <c:v>3.25%</c:v>
                </c:pt>
                <c:pt idx="66">
                  <c:v>3.30%</c:v>
                </c:pt>
                <c:pt idx="67">
                  <c:v>3.35%</c:v>
                </c:pt>
                <c:pt idx="68">
                  <c:v>3.40%</c:v>
                </c:pt>
                <c:pt idx="69">
                  <c:v>3.45%</c:v>
                </c:pt>
                <c:pt idx="70">
                  <c:v>3.50%</c:v>
                </c:pt>
                <c:pt idx="71">
                  <c:v>3.55%</c:v>
                </c:pt>
                <c:pt idx="72">
                  <c:v>3.60%</c:v>
                </c:pt>
                <c:pt idx="73">
                  <c:v>3.65%</c:v>
                </c:pt>
                <c:pt idx="74">
                  <c:v>3.70%</c:v>
                </c:pt>
                <c:pt idx="75">
                  <c:v>3.75%</c:v>
                </c:pt>
                <c:pt idx="76">
                  <c:v>3.80%</c:v>
                </c:pt>
                <c:pt idx="77">
                  <c:v>3.85%</c:v>
                </c:pt>
                <c:pt idx="78">
                  <c:v>3.90%</c:v>
                </c:pt>
                <c:pt idx="79">
                  <c:v>3.95%</c:v>
                </c:pt>
                <c:pt idx="80">
                  <c:v>4.00%</c:v>
                </c:pt>
              </c:strCache>
            </c:strRef>
          </c:cat>
          <c:val>
            <c:numRef>
              <c:f>'Sens - Boiloff'!$B$5:$B$85</c:f>
              <c:numCache>
                <c:formatCode>0%</c:formatCode>
                <c:ptCount val="81"/>
                <c:pt idx="0">
                  <c:v>0</c:v>
                </c:pt>
                <c:pt idx="1">
                  <c:v>0.658015661317188</c:v>
                </c:pt>
                <c:pt idx="2">
                  <c:v>1.30660538840199</c:v>
                </c:pt>
                <c:pt idx="3">
                  <c:v>1.9458995891378</c:v>
                </c:pt>
                <c:pt idx="4">
                  <c:v>2.57602693114889</c:v>
                </c:pt>
                <c:pt idx="5">
                  <c:v>3.19711436416854</c:v>
                </c:pt>
                <c:pt idx="6">
                  <c:v>3.8092871421329</c:v>
                </c:pt>
                <c:pt idx="7">
                  <c:v>4.41266884499936</c:v>
                </c:pt>
                <c:pt idx="8">
                  <c:v>5.00738140029706</c:v>
                </c:pt>
                <c:pt idx="9">
                  <c:v>5.59354510440853</c:v>
                </c:pt>
                <c:pt idx="10">
                  <c:v>6.17127864358966</c:v>
                </c:pt>
                <c:pt idx="11">
                  <c:v>6.74069911472725</c:v>
                </c:pt>
                <c:pt idx="12">
                  <c:v>7.3019220458411</c:v>
                </c:pt>
                <c:pt idx="13">
                  <c:v>7.85506141632978</c:v>
                </c:pt>
                <c:pt idx="14">
                  <c:v>8.40022967696707</c:v>
                </c:pt>
                <c:pt idx="15">
                  <c:v>8.93753776964818</c:v>
                </c:pt>
                <c:pt idx="16">
                  <c:v>9.46709514689245</c:v>
                </c:pt>
                <c:pt idx="17">
                  <c:v>9.98900979110187</c:v>
                </c:pt>
                <c:pt idx="18">
                  <c:v>10.5033882335818</c:v>
                </c:pt>
                <c:pt idx="19">
                  <c:v>11.0103355733232</c:v>
                </c:pt>
                <c:pt idx="20">
                  <c:v>11.5099554955529</c:v>
                </c:pt>
                <c:pt idx="21">
                  <c:v>12.0023502900512</c:v>
                </c:pt>
                <c:pt idx="22">
                  <c:v>12.4876208692424</c:v>
                </c:pt>
                <c:pt idx="23">
                  <c:v>12.9658667860587</c:v>
                </c:pt>
                <c:pt idx="24">
                  <c:v>13.4371862515825</c:v>
                </c:pt>
                <c:pt idx="25">
                  <c:v>13.9016761524671</c:v>
                </c:pt>
                <c:pt idx="26">
                  <c:v>14.3594320681412</c:v>
                </c:pt>
                <c:pt idx="27">
                  <c:v>14.8105482877975</c:v>
                </c:pt>
                <c:pt idx="28">
                  <c:v>15.2551178271696</c:v>
                </c:pt>
                <c:pt idx="29">
                  <c:v>15.6932324450983</c:v>
                </c:pt>
                <c:pt idx="30">
                  <c:v>16.1249826598918</c:v>
                </c:pt>
                <c:pt idx="31">
                  <c:v>16.5504577654795</c:v>
                </c:pt>
                <c:pt idx="32">
                  <c:v>16.9697458473655</c:v>
                </c:pt>
                <c:pt idx="33">
                  <c:v>17.3829337983801</c:v>
                </c:pt>
                <c:pt idx="34">
                  <c:v>17.7901073342355</c:v>
                </c:pt>
                <c:pt idx="35">
                  <c:v>18.1913510088848</c:v>
                </c:pt>
                <c:pt idx="36">
                  <c:v>18.5867482296903</c:v>
                </c:pt>
                <c:pt idx="37">
                  <c:v>18.9763812723989</c:v>
                </c:pt>
                <c:pt idx="38">
                  <c:v>19.3603312959316</c:v>
                </c:pt>
                <c:pt idx="39">
                  <c:v>19.7386783569854</c:v>
                </c:pt>
                <c:pt idx="40">
                  <c:v>20.1115014244529</c:v>
                </c:pt>
                <c:pt idx="41">
                  <c:v>20.4788783936592</c:v>
                </c:pt>
                <c:pt idx="42">
                  <c:v>20.840886100421</c:v>
                </c:pt>
                <c:pt idx="43">
                  <c:v>21.1976003349271</c:v>
                </c:pt>
                <c:pt idx="44">
                  <c:v>21.5490958554456</c:v>
                </c:pt>
                <c:pt idx="45">
                  <c:v>21.8954464018565</c:v>
                </c:pt>
                <c:pt idx="46">
                  <c:v>22.2367247090155</c:v>
                </c:pt>
                <c:pt idx="47">
                  <c:v>22.5730025199475</c:v>
                </c:pt>
                <c:pt idx="48">
                  <c:v>22.9043505988748</c:v>
                </c:pt>
                <c:pt idx="49">
                  <c:v>23.2308387440793</c:v>
                </c:pt>
                <c:pt idx="50">
                  <c:v>23.5525358006041</c:v>
                </c:pt>
                <c:pt idx="51">
                  <c:v>23.8695096727922</c:v>
                </c:pt>
                <c:pt idx="52">
                  <c:v>24.1818273366686</c:v>
                </c:pt>
                <c:pt idx="53">
                  <c:v>24.489554852164</c:v>
                </c:pt>
                <c:pt idx="54">
                  <c:v>24.7927573751851</c:v>
                </c:pt>
                <c:pt idx="55">
                  <c:v>25.0914991695305</c:v>
                </c:pt>
                <c:pt idx="56">
                  <c:v>25.3858436186574</c:v>
                </c:pt>
                <c:pt idx="57">
                  <c:v>25.6758532372966</c:v>
                </c:pt>
                <c:pt idx="58">
                  <c:v>25.9615896829227</c:v>
                </c:pt>
                <c:pt idx="59">
                  <c:v>26.2431137670765</c:v>
                </c:pt>
                <c:pt idx="60">
                  <c:v>26.5204854665451</c:v>
                </c:pt>
                <c:pt idx="61">
                  <c:v>26.7937639343987</c:v>
                </c:pt>
                <c:pt idx="62">
                  <c:v>27.0630075108879</c:v>
                </c:pt>
                <c:pt idx="63">
                  <c:v>27.328273734202</c:v>
                </c:pt>
                <c:pt idx="64">
                  <c:v>27.5896193510904</c:v>
                </c:pt>
                <c:pt idx="65">
                  <c:v>27.8471003273486</c:v>
                </c:pt>
                <c:pt idx="66">
                  <c:v>28.1007718581708</c:v>
                </c:pt>
                <c:pt idx="67">
                  <c:v>28.3506883783702</c:v>
                </c:pt>
                <c:pt idx="68">
                  <c:v>28.5969035724695</c:v>
                </c:pt>
                <c:pt idx="69">
                  <c:v>28.8394703846616</c:v>
                </c:pt>
                <c:pt idx="70">
                  <c:v>29.0784410286444</c:v>
                </c:pt>
                <c:pt idx="71">
                  <c:v>29.3138669973287</c:v>
                </c:pt>
                <c:pt idx="72">
                  <c:v>29.5457990724232</c:v>
                </c:pt>
                <c:pt idx="73">
                  <c:v>29.7742873338957</c:v>
                </c:pt>
                <c:pt idx="74">
                  <c:v>29.9993811693142</c:v>
                </c:pt>
                <c:pt idx="75">
                  <c:v>30.221129283068</c:v>
                </c:pt>
                <c:pt idx="76">
                  <c:v>30.4395797054708</c:v>
                </c:pt>
                <c:pt idx="77">
                  <c:v>30.6547798017467</c:v>
                </c:pt>
                <c:pt idx="78">
                  <c:v>30.866776280902</c:v>
                </c:pt>
                <c:pt idx="79">
                  <c:v>31.0756152044821</c:v>
                </c:pt>
                <c:pt idx="80">
                  <c:v>31.2813419952166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203150"/>
        <c:axId val="32294762"/>
      </c:lineChart>
      <c:catAx>
        <c:axId val="862031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LH₂ voyage boil-off rate (%/day)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94762"/>
        <c:crosses val="autoZero"/>
        <c:auto val="1"/>
        <c:lblAlgn val="ctr"/>
        <c:lblOffset val="100"/>
        <c:noMultiLvlLbl val="0"/>
      </c:catAx>
      <c:valAx>
        <c:axId val="32294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propulsion demand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031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Fate of the boil-off (active basis)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'Sens - Boiloff'!C4</c:f>
              <c:strCache>
                <c:ptCount val="1"/>
                <c:pt idx="0">
                  <c:v>Useful (t, active basis)</c:v>
                </c:pt>
              </c:strCache>
            </c:strRef>
          </c:tx>
          <c:spPr>
            <a:solidFill>
              <a:srgbClr val="0c7c9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Boiloff'!$A$5:$A$85</c:f>
              <c:strCache>
                <c:ptCount val="81"/>
                <c:pt idx="0">
                  <c:v>0.00%</c:v>
                </c:pt>
                <c:pt idx="1">
                  <c:v>0.05%</c:v>
                </c:pt>
                <c:pt idx="2">
                  <c:v>0.10%</c:v>
                </c:pt>
                <c:pt idx="3">
                  <c:v>0.15%</c:v>
                </c:pt>
                <c:pt idx="4">
                  <c:v>0.20%</c:v>
                </c:pt>
                <c:pt idx="5">
                  <c:v>0.25%</c:v>
                </c:pt>
                <c:pt idx="6">
                  <c:v>0.30%</c:v>
                </c:pt>
                <c:pt idx="7">
                  <c:v>0.35%</c:v>
                </c:pt>
                <c:pt idx="8">
                  <c:v>0.40%</c:v>
                </c:pt>
                <c:pt idx="9">
                  <c:v>0.45%</c:v>
                </c:pt>
                <c:pt idx="10">
                  <c:v>0.50%</c:v>
                </c:pt>
                <c:pt idx="11">
                  <c:v>0.55%</c:v>
                </c:pt>
                <c:pt idx="12">
                  <c:v>0.60%</c:v>
                </c:pt>
                <c:pt idx="13">
                  <c:v>0.65%</c:v>
                </c:pt>
                <c:pt idx="14">
                  <c:v>0.70%</c:v>
                </c:pt>
                <c:pt idx="15">
                  <c:v>0.75%</c:v>
                </c:pt>
                <c:pt idx="16">
                  <c:v>0.80%</c:v>
                </c:pt>
                <c:pt idx="17">
                  <c:v>0.85%</c:v>
                </c:pt>
                <c:pt idx="18">
                  <c:v>0.90%</c:v>
                </c:pt>
                <c:pt idx="19">
                  <c:v>0.95%</c:v>
                </c:pt>
                <c:pt idx="20">
                  <c:v>1.00%</c:v>
                </c:pt>
                <c:pt idx="21">
                  <c:v>1.05%</c:v>
                </c:pt>
                <c:pt idx="22">
                  <c:v>1.10%</c:v>
                </c:pt>
                <c:pt idx="23">
                  <c:v>1.15%</c:v>
                </c:pt>
                <c:pt idx="24">
                  <c:v>1.20%</c:v>
                </c:pt>
                <c:pt idx="25">
                  <c:v>1.25%</c:v>
                </c:pt>
                <c:pt idx="26">
                  <c:v>1.30%</c:v>
                </c:pt>
                <c:pt idx="27">
                  <c:v>1.35%</c:v>
                </c:pt>
                <c:pt idx="28">
                  <c:v>1.40%</c:v>
                </c:pt>
                <c:pt idx="29">
                  <c:v>1.45%</c:v>
                </c:pt>
                <c:pt idx="30">
                  <c:v>1.50%</c:v>
                </c:pt>
                <c:pt idx="31">
                  <c:v>1.55%</c:v>
                </c:pt>
                <c:pt idx="32">
                  <c:v>1.60%</c:v>
                </c:pt>
                <c:pt idx="33">
                  <c:v>1.65%</c:v>
                </c:pt>
                <c:pt idx="34">
                  <c:v>1.70%</c:v>
                </c:pt>
                <c:pt idx="35">
                  <c:v>1.75%</c:v>
                </c:pt>
                <c:pt idx="36">
                  <c:v>1.80%</c:v>
                </c:pt>
                <c:pt idx="37">
                  <c:v>1.85%</c:v>
                </c:pt>
                <c:pt idx="38">
                  <c:v>1.90%</c:v>
                </c:pt>
                <c:pt idx="39">
                  <c:v>1.95%</c:v>
                </c:pt>
                <c:pt idx="40">
                  <c:v>2.00%</c:v>
                </c:pt>
                <c:pt idx="41">
                  <c:v>2.05%</c:v>
                </c:pt>
                <c:pt idx="42">
                  <c:v>2.10%</c:v>
                </c:pt>
                <c:pt idx="43">
                  <c:v>2.15%</c:v>
                </c:pt>
                <c:pt idx="44">
                  <c:v>2.20%</c:v>
                </c:pt>
                <c:pt idx="45">
                  <c:v>2.25%</c:v>
                </c:pt>
                <c:pt idx="46">
                  <c:v>2.30%</c:v>
                </c:pt>
                <c:pt idx="47">
                  <c:v>2.35%</c:v>
                </c:pt>
                <c:pt idx="48">
                  <c:v>2.40%</c:v>
                </c:pt>
                <c:pt idx="49">
                  <c:v>2.45%</c:v>
                </c:pt>
                <c:pt idx="50">
                  <c:v>2.50%</c:v>
                </c:pt>
                <c:pt idx="51">
                  <c:v>2.55%</c:v>
                </c:pt>
                <c:pt idx="52">
                  <c:v>2.60%</c:v>
                </c:pt>
                <c:pt idx="53">
                  <c:v>2.65%</c:v>
                </c:pt>
                <c:pt idx="54">
                  <c:v>2.70%</c:v>
                </c:pt>
                <c:pt idx="55">
                  <c:v>2.75%</c:v>
                </c:pt>
                <c:pt idx="56">
                  <c:v>2.80%</c:v>
                </c:pt>
                <c:pt idx="57">
                  <c:v>2.85%</c:v>
                </c:pt>
                <c:pt idx="58">
                  <c:v>2.90%</c:v>
                </c:pt>
                <c:pt idx="59">
                  <c:v>2.95%</c:v>
                </c:pt>
                <c:pt idx="60">
                  <c:v>3.00%</c:v>
                </c:pt>
                <c:pt idx="61">
                  <c:v>3.05%</c:v>
                </c:pt>
                <c:pt idx="62">
                  <c:v>3.10%</c:v>
                </c:pt>
                <c:pt idx="63">
                  <c:v>3.15%</c:v>
                </c:pt>
                <c:pt idx="64">
                  <c:v>3.20%</c:v>
                </c:pt>
                <c:pt idx="65">
                  <c:v>3.25%</c:v>
                </c:pt>
                <c:pt idx="66">
                  <c:v>3.30%</c:v>
                </c:pt>
                <c:pt idx="67">
                  <c:v>3.35%</c:v>
                </c:pt>
                <c:pt idx="68">
                  <c:v>3.40%</c:v>
                </c:pt>
                <c:pt idx="69">
                  <c:v>3.45%</c:v>
                </c:pt>
                <c:pt idx="70">
                  <c:v>3.50%</c:v>
                </c:pt>
                <c:pt idx="71">
                  <c:v>3.55%</c:v>
                </c:pt>
                <c:pt idx="72">
                  <c:v>3.60%</c:v>
                </c:pt>
                <c:pt idx="73">
                  <c:v>3.65%</c:v>
                </c:pt>
                <c:pt idx="74">
                  <c:v>3.70%</c:v>
                </c:pt>
                <c:pt idx="75">
                  <c:v>3.75%</c:v>
                </c:pt>
                <c:pt idx="76">
                  <c:v>3.80%</c:v>
                </c:pt>
                <c:pt idx="77">
                  <c:v>3.85%</c:v>
                </c:pt>
                <c:pt idx="78">
                  <c:v>3.90%</c:v>
                </c:pt>
                <c:pt idx="79">
                  <c:v>3.95%</c:v>
                </c:pt>
                <c:pt idx="80">
                  <c:v>4.00%</c:v>
                </c:pt>
              </c:strCache>
            </c:strRef>
          </c:cat>
          <c:val>
            <c:numRef>
              <c:f>'Sens - Boiloff'!$C$5:$C$85</c:f>
              <c:numCache>
                <c:formatCode>#,##0.0</c:formatCode>
                <c:ptCount val="81"/>
                <c:pt idx="0">
                  <c:v>0</c:v>
                </c:pt>
                <c:pt idx="1">
                  <c:v>164.457602290071</c:v>
                </c:pt>
                <c:pt idx="2">
                  <c:v>249.929617117117</c:v>
                </c:pt>
                <c:pt idx="3">
                  <c:v>249.929617117117</c:v>
                </c:pt>
                <c:pt idx="4">
                  <c:v>249.929617117117</c:v>
                </c:pt>
                <c:pt idx="5">
                  <c:v>249.929617117117</c:v>
                </c:pt>
                <c:pt idx="6">
                  <c:v>249.929617117117</c:v>
                </c:pt>
                <c:pt idx="7">
                  <c:v>249.929617117117</c:v>
                </c:pt>
                <c:pt idx="8">
                  <c:v>249.929617117117</c:v>
                </c:pt>
                <c:pt idx="9">
                  <c:v>249.929617117117</c:v>
                </c:pt>
                <c:pt idx="10">
                  <c:v>249.929617117117</c:v>
                </c:pt>
                <c:pt idx="11">
                  <c:v>249.929617117117</c:v>
                </c:pt>
                <c:pt idx="12">
                  <c:v>249.929617117117</c:v>
                </c:pt>
                <c:pt idx="13">
                  <c:v>249.929617117117</c:v>
                </c:pt>
                <c:pt idx="14">
                  <c:v>249.929617117117</c:v>
                </c:pt>
                <c:pt idx="15">
                  <c:v>249.929617117117</c:v>
                </c:pt>
                <c:pt idx="16">
                  <c:v>249.929617117117</c:v>
                </c:pt>
                <c:pt idx="17">
                  <c:v>249.929617117117</c:v>
                </c:pt>
                <c:pt idx="18">
                  <c:v>249.929617117117</c:v>
                </c:pt>
                <c:pt idx="19">
                  <c:v>249.929617117117</c:v>
                </c:pt>
                <c:pt idx="20">
                  <c:v>249.929617117117</c:v>
                </c:pt>
                <c:pt idx="21">
                  <c:v>249.929617117117</c:v>
                </c:pt>
                <c:pt idx="22">
                  <c:v>249.929617117117</c:v>
                </c:pt>
                <c:pt idx="23">
                  <c:v>249.929617117117</c:v>
                </c:pt>
                <c:pt idx="24">
                  <c:v>249.929617117117</c:v>
                </c:pt>
                <c:pt idx="25">
                  <c:v>249.929617117117</c:v>
                </c:pt>
                <c:pt idx="26">
                  <c:v>249.929617117117</c:v>
                </c:pt>
                <c:pt idx="27">
                  <c:v>249.929617117117</c:v>
                </c:pt>
                <c:pt idx="28">
                  <c:v>249.929617117117</c:v>
                </c:pt>
                <c:pt idx="29">
                  <c:v>249.929617117117</c:v>
                </c:pt>
                <c:pt idx="30">
                  <c:v>249.929617117117</c:v>
                </c:pt>
                <c:pt idx="31">
                  <c:v>249.929617117117</c:v>
                </c:pt>
                <c:pt idx="32">
                  <c:v>249.929617117117</c:v>
                </c:pt>
                <c:pt idx="33">
                  <c:v>249.929617117117</c:v>
                </c:pt>
                <c:pt idx="34">
                  <c:v>249.929617117117</c:v>
                </c:pt>
                <c:pt idx="35">
                  <c:v>249.929617117117</c:v>
                </c:pt>
                <c:pt idx="36">
                  <c:v>249.929617117117</c:v>
                </c:pt>
                <c:pt idx="37">
                  <c:v>249.929617117117</c:v>
                </c:pt>
                <c:pt idx="38">
                  <c:v>249.929617117117</c:v>
                </c:pt>
                <c:pt idx="39">
                  <c:v>249.929617117117</c:v>
                </c:pt>
                <c:pt idx="40">
                  <c:v>249.929617117117</c:v>
                </c:pt>
                <c:pt idx="41">
                  <c:v>249.929617117117</c:v>
                </c:pt>
                <c:pt idx="42">
                  <c:v>249.929617117117</c:v>
                </c:pt>
                <c:pt idx="43">
                  <c:v>249.929617117117</c:v>
                </c:pt>
                <c:pt idx="44">
                  <c:v>249.929617117117</c:v>
                </c:pt>
                <c:pt idx="45">
                  <c:v>249.929617117117</c:v>
                </c:pt>
                <c:pt idx="46">
                  <c:v>249.929617117117</c:v>
                </c:pt>
                <c:pt idx="47">
                  <c:v>249.929617117117</c:v>
                </c:pt>
                <c:pt idx="48">
                  <c:v>249.929617117117</c:v>
                </c:pt>
                <c:pt idx="49">
                  <c:v>249.929617117117</c:v>
                </c:pt>
                <c:pt idx="50">
                  <c:v>249.929617117117</c:v>
                </c:pt>
                <c:pt idx="51">
                  <c:v>249.929617117117</c:v>
                </c:pt>
                <c:pt idx="52">
                  <c:v>249.929617117117</c:v>
                </c:pt>
                <c:pt idx="53">
                  <c:v>249.929617117117</c:v>
                </c:pt>
                <c:pt idx="54">
                  <c:v>249.929617117117</c:v>
                </c:pt>
                <c:pt idx="55">
                  <c:v>249.929617117117</c:v>
                </c:pt>
                <c:pt idx="56">
                  <c:v>249.929617117117</c:v>
                </c:pt>
                <c:pt idx="57">
                  <c:v>249.929617117117</c:v>
                </c:pt>
                <c:pt idx="58">
                  <c:v>249.929617117117</c:v>
                </c:pt>
                <c:pt idx="59">
                  <c:v>249.929617117117</c:v>
                </c:pt>
                <c:pt idx="60">
                  <c:v>249.929617117117</c:v>
                </c:pt>
                <c:pt idx="61">
                  <c:v>249.929617117117</c:v>
                </c:pt>
                <c:pt idx="62">
                  <c:v>249.929617117117</c:v>
                </c:pt>
                <c:pt idx="63">
                  <c:v>249.929617117117</c:v>
                </c:pt>
                <c:pt idx="64">
                  <c:v>249.929617117117</c:v>
                </c:pt>
                <c:pt idx="65">
                  <c:v>249.929617117117</c:v>
                </c:pt>
                <c:pt idx="66">
                  <c:v>249.929617117117</c:v>
                </c:pt>
                <c:pt idx="67">
                  <c:v>249.929617117117</c:v>
                </c:pt>
                <c:pt idx="68">
                  <c:v>249.929617117117</c:v>
                </c:pt>
                <c:pt idx="69">
                  <c:v>249.929617117117</c:v>
                </c:pt>
                <c:pt idx="70">
                  <c:v>249.929617117117</c:v>
                </c:pt>
                <c:pt idx="71">
                  <c:v>249.929617117117</c:v>
                </c:pt>
                <c:pt idx="72">
                  <c:v>249.929617117117</c:v>
                </c:pt>
                <c:pt idx="73">
                  <c:v>249.929617117117</c:v>
                </c:pt>
                <c:pt idx="74">
                  <c:v>249.929617117117</c:v>
                </c:pt>
                <c:pt idx="75">
                  <c:v>249.929617117117</c:v>
                </c:pt>
                <c:pt idx="76">
                  <c:v>249.929617117117</c:v>
                </c:pt>
                <c:pt idx="77">
                  <c:v>249.929617117117</c:v>
                </c:pt>
                <c:pt idx="78">
                  <c:v>249.929617117117</c:v>
                </c:pt>
                <c:pt idx="79">
                  <c:v>249.929617117117</c:v>
                </c:pt>
                <c:pt idx="80">
                  <c:v>249.929617117117</c:v>
                </c:pt>
              </c:numCache>
            </c:numRef>
          </c:val>
        </c:ser>
        <c:ser>
          <c:idx val="1"/>
          <c:order val="1"/>
          <c:tx>
            <c:strRef>
              <c:f>'Sens - Boiloff'!D4</c:f>
              <c:strCache>
                <c:ptCount val="1"/>
                <c:pt idx="0">
                  <c:v>Surplus (t, active basis)</c:v>
                </c:pt>
              </c:strCache>
            </c:strRef>
          </c:tx>
          <c:spPr>
            <a:solidFill>
              <a:srgbClr val="b345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Boiloff'!$A$5:$A$85</c:f>
              <c:strCache>
                <c:ptCount val="81"/>
                <c:pt idx="0">
                  <c:v>0.00%</c:v>
                </c:pt>
                <c:pt idx="1">
                  <c:v>0.05%</c:v>
                </c:pt>
                <c:pt idx="2">
                  <c:v>0.10%</c:v>
                </c:pt>
                <c:pt idx="3">
                  <c:v>0.15%</c:v>
                </c:pt>
                <c:pt idx="4">
                  <c:v>0.20%</c:v>
                </c:pt>
                <c:pt idx="5">
                  <c:v>0.25%</c:v>
                </c:pt>
                <c:pt idx="6">
                  <c:v>0.30%</c:v>
                </c:pt>
                <c:pt idx="7">
                  <c:v>0.35%</c:v>
                </c:pt>
                <c:pt idx="8">
                  <c:v>0.40%</c:v>
                </c:pt>
                <c:pt idx="9">
                  <c:v>0.45%</c:v>
                </c:pt>
                <c:pt idx="10">
                  <c:v>0.50%</c:v>
                </c:pt>
                <c:pt idx="11">
                  <c:v>0.55%</c:v>
                </c:pt>
                <c:pt idx="12">
                  <c:v>0.60%</c:v>
                </c:pt>
                <c:pt idx="13">
                  <c:v>0.65%</c:v>
                </c:pt>
                <c:pt idx="14">
                  <c:v>0.70%</c:v>
                </c:pt>
                <c:pt idx="15">
                  <c:v>0.75%</c:v>
                </c:pt>
                <c:pt idx="16">
                  <c:v>0.80%</c:v>
                </c:pt>
                <c:pt idx="17">
                  <c:v>0.85%</c:v>
                </c:pt>
                <c:pt idx="18">
                  <c:v>0.90%</c:v>
                </c:pt>
                <c:pt idx="19">
                  <c:v>0.95%</c:v>
                </c:pt>
                <c:pt idx="20">
                  <c:v>1.00%</c:v>
                </c:pt>
                <c:pt idx="21">
                  <c:v>1.05%</c:v>
                </c:pt>
                <c:pt idx="22">
                  <c:v>1.10%</c:v>
                </c:pt>
                <c:pt idx="23">
                  <c:v>1.15%</c:v>
                </c:pt>
                <c:pt idx="24">
                  <c:v>1.20%</c:v>
                </c:pt>
                <c:pt idx="25">
                  <c:v>1.25%</c:v>
                </c:pt>
                <c:pt idx="26">
                  <c:v>1.30%</c:v>
                </c:pt>
                <c:pt idx="27">
                  <c:v>1.35%</c:v>
                </c:pt>
                <c:pt idx="28">
                  <c:v>1.40%</c:v>
                </c:pt>
                <c:pt idx="29">
                  <c:v>1.45%</c:v>
                </c:pt>
                <c:pt idx="30">
                  <c:v>1.50%</c:v>
                </c:pt>
                <c:pt idx="31">
                  <c:v>1.55%</c:v>
                </c:pt>
                <c:pt idx="32">
                  <c:v>1.60%</c:v>
                </c:pt>
                <c:pt idx="33">
                  <c:v>1.65%</c:v>
                </c:pt>
                <c:pt idx="34">
                  <c:v>1.70%</c:v>
                </c:pt>
                <c:pt idx="35">
                  <c:v>1.75%</c:v>
                </c:pt>
                <c:pt idx="36">
                  <c:v>1.80%</c:v>
                </c:pt>
                <c:pt idx="37">
                  <c:v>1.85%</c:v>
                </c:pt>
                <c:pt idx="38">
                  <c:v>1.90%</c:v>
                </c:pt>
                <c:pt idx="39">
                  <c:v>1.95%</c:v>
                </c:pt>
                <c:pt idx="40">
                  <c:v>2.00%</c:v>
                </c:pt>
                <c:pt idx="41">
                  <c:v>2.05%</c:v>
                </c:pt>
                <c:pt idx="42">
                  <c:v>2.10%</c:v>
                </c:pt>
                <c:pt idx="43">
                  <c:v>2.15%</c:v>
                </c:pt>
                <c:pt idx="44">
                  <c:v>2.20%</c:v>
                </c:pt>
                <c:pt idx="45">
                  <c:v>2.25%</c:v>
                </c:pt>
                <c:pt idx="46">
                  <c:v>2.30%</c:v>
                </c:pt>
                <c:pt idx="47">
                  <c:v>2.35%</c:v>
                </c:pt>
                <c:pt idx="48">
                  <c:v>2.40%</c:v>
                </c:pt>
                <c:pt idx="49">
                  <c:v>2.45%</c:v>
                </c:pt>
                <c:pt idx="50">
                  <c:v>2.50%</c:v>
                </c:pt>
                <c:pt idx="51">
                  <c:v>2.55%</c:v>
                </c:pt>
                <c:pt idx="52">
                  <c:v>2.60%</c:v>
                </c:pt>
                <c:pt idx="53">
                  <c:v>2.65%</c:v>
                </c:pt>
                <c:pt idx="54">
                  <c:v>2.70%</c:v>
                </c:pt>
                <c:pt idx="55">
                  <c:v>2.75%</c:v>
                </c:pt>
                <c:pt idx="56">
                  <c:v>2.80%</c:v>
                </c:pt>
                <c:pt idx="57">
                  <c:v>2.85%</c:v>
                </c:pt>
                <c:pt idx="58">
                  <c:v>2.90%</c:v>
                </c:pt>
                <c:pt idx="59">
                  <c:v>2.95%</c:v>
                </c:pt>
                <c:pt idx="60">
                  <c:v>3.00%</c:v>
                </c:pt>
                <c:pt idx="61">
                  <c:v>3.05%</c:v>
                </c:pt>
                <c:pt idx="62">
                  <c:v>3.10%</c:v>
                </c:pt>
                <c:pt idx="63">
                  <c:v>3.15%</c:v>
                </c:pt>
                <c:pt idx="64">
                  <c:v>3.20%</c:v>
                </c:pt>
                <c:pt idx="65">
                  <c:v>3.25%</c:v>
                </c:pt>
                <c:pt idx="66">
                  <c:v>3.30%</c:v>
                </c:pt>
                <c:pt idx="67">
                  <c:v>3.35%</c:v>
                </c:pt>
                <c:pt idx="68">
                  <c:v>3.40%</c:v>
                </c:pt>
                <c:pt idx="69">
                  <c:v>3.45%</c:v>
                </c:pt>
                <c:pt idx="70">
                  <c:v>3.50%</c:v>
                </c:pt>
                <c:pt idx="71">
                  <c:v>3.55%</c:v>
                </c:pt>
                <c:pt idx="72">
                  <c:v>3.60%</c:v>
                </c:pt>
                <c:pt idx="73">
                  <c:v>3.65%</c:v>
                </c:pt>
                <c:pt idx="74">
                  <c:v>3.70%</c:v>
                </c:pt>
                <c:pt idx="75">
                  <c:v>3.75%</c:v>
                </c:pt>
                <c:pt idx="76">
                  <c:v>3.80%</c:v>
                </c:pt>
                <c:pt idx="77">
                  <c:v>3.85%</c:v>
                </c:pt>
                <c:pt idx="78">
                  <c:v>3.90%</c:v>
                </c:pt>
                <c:pt idx="79">
                  <c:v>3.95%</c:v>
                </c:pt>
                <c:pt idx="80">
                  <c:v>4.00%</c:v>
                </c:pt>
              </c:strCache>
            </c:strRef>
          </c:cat>
          <c:val>
            <c:numRef>
              <c:f>'Sens - Boiloff'!$D$5:$D$85</c:f>
              <c:numCache>
                <c:formatCode>#,##0.0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76.6297673293539</c:v>
                </c:pt>
                <c:pt idx="3">
                  <c:v>236.408322144448</c:v>
                </c:pt>
                <c:pt idx="4">
                  <c:v>393.895807468306</c:v>
                </c:pt>
                <c:pt idx="5">
                  <c:v>549.123951799161</c:v>
                </c:pt>
                <c:pt idx="6">
                  <c:v>702.124059805316</c:v>
                </c:pt>
                <c:pt idx="7">
                  <c:v>852.927017778205</c:v>
                </c:pt>
                <c:pt idx="8">
                  <c:v>1001.5632990185</c:v>
                </c:pt>
                <c:pt idx="9">
                  <c:v>1148.06296915503</c:v>
                </c:pt>
                <c:pt idx="10">
                  <c:v>1292.45569139829</c:v>
                </c:pt>
                <c:pt idx="11">
                  <c:v>1434.77073172836</c:v>
                </c:pt>
                <c:pt idx="12">
                  <c:v>1575.03696401899</c:v>
                </c:pt>
                <c:pt idx="13">
                  <c:v>1713.28287509762</c:v>
                </c:pt>
                <c:pt idx="14">
                  <c:v>1849.53656974311</c:v>
                </c:pt>
                <c:pt idx="15">
                  <c:v>1983.82577562082</c:v>
                </c:pt>
                <c:pt idx="16">
                  <c:v>2116.17784815703</c:v>
                </c:pt>
                <c:pt idx="17">
                  <c:v>2246.61977535211</c:v>
                </c:pt>
                <c:pt idx="18">
                  <c:v>2375.17818253441</c:v>
                </c:pt>
                <c:pt idx="19">
                  <c:v>2501.87933705451</c:v>
                </c:pt>
                <c:pt idx="20">
                  <c:v>2626.74915292148</c:v>
                </c:pt>
                <c:pt idx="21">
                  <c:v>2749.81319538089</c:v>
                </c:pt>
                <c:pt idx="22">
                  <c:v>2871.09668543635</c:v>
                </c:pt>
                <c:pt idx="23">
                  <c:v>2990.62450431408</c:v>
                </c:pt>
                <c:pt idx="24">
                  <c:v>3108.42119787228</c:v>
                </c:pt>
                <c:pt idx="25">
                  <c:v>3224.51098095513</c:v>
                </c:pt>
                <c:pt idx="26">
                  <c:v>3338.91774169267</c:v>
                </c:pt>
                <c:pt idx="27">
                  <c:v>3451.6650457467</c:v>
                </c:pt>
                <c:pt idx="28">
                  <c:v>3562.7761405039</c:v>
                </c:pt>
                <c:pt idx="29">
                  <c:v>3672.27395921623</c:v>
                </c:pt>
                <c:pt idx="30">
                  <c:v>3780.18112508978</c:v>
                </c:pt>
                <c:pt idx="31">
                  <c:v>3886.51995532219</c:v>
                </c:pt>
                <c:pt idx="32">
                  <c:v>3991.31246508974</c:v>
                </c:pt>
                <c:pt idx="33">
                  <c:v>4094.58037148422</c:v>
                </c:pt>
                <c:pt idx="34">
                  <c:v>4196.34509740077</c:v>
                </c:pt>
                <c:pt idx="35">
                  <c:v>4296.62777537654</c:v>
                </c:pt>
                <c:pt idx="36">
                  <c:v>4395.44925138163</c:v>
                </c:pt>
                <c:pt idx="37">
                  <c:v>4492.83008856197</c:v>
                </c:pt>
                <c:pt idx="38">
                  <c:v>4588.7905709356</c:v>
                </c:pt>
                <c:pt idx="39">
                  <c:v>4683.35070704216</c:v>
                </c:pt>
                <c:pt idx="40">
                  <c:v>4776.53023354675</c:v>
                </c:pt>
                <c:pt idx="41">
                  <c:v>4868.34861879813</c:v>
                </c:pt>
                <c:pt idx="42">
                  <c:v>4958.82506634255</c:v>
                </c:pt>
                <c:pt idx="43">
                  <c:v>5047.97851839289</c:v>
                </c:pt>
                <c:pt idx="44">
                  <c:v>5135.82765925446</c:v>
                </c:pt>
                <c:pt idx="45">
                  <c:v>5222.39091870724</c:v>
                </c:pt>
                <c:pt idx="46">
                  <c:v>5307.68647534587</c:v>
                </c:pt>
                <c:pt idx="47">
                  <c:v>5391.73225987709</c:v>
                </c:pt>
                <c:pt idx="48">
                  <c:v>5474.54595837586</c:v>
                </c:pt>
                <c:pt idx="49">
                  <c:v>5556.14501550011</c:v>
                </c:pt>
                <c:pt idx="50">
                  <c:v>5636.54663766506</c:v>
                </c:pt>
                <c:pt idx="51">
                  <c:v>5715.76779617717</c:v>
                </c:pt>
                <c:pt idx="52">
                  <c:v>5793.82523032871</c:v>
                </c:pt>
                <c:pt idx="53">
                  <c:v>5870.73545045288</c:v>
                </c:pt>
                <c:pt idx="54">
                  <c:v>5946.51474094047</c:v>
                </c:pt>
                <c:pt idx="55">
                  <c:v>6021.17916321811</c:v>
                </c:pt>
                <c:pt idx="56">
                  <c:v>6094.74455868893</c:v>
                </c:pt>
                <c:pt idx="57">
                  <c:v>6167.2265516357</c:v>
                </c:pt>
                <c:pt idx="58">
                  <c:v>6238.64055208745</c:v>
                </c:pt>
                <c:pt idx="59">
                  <c:v>6309.00175864926</c:v>
                </c:pt>
                <c:pt idx="60">
                  <c:v>6378.32516129657</c:v>
                </c:pt>
                <c:pt idx="61">
                  <c:v>6446.62554413356</c:v>
                </c:pt>
                <c:pt idx="62">
                  <c:v>6513.91748811676</c:v>
                </c:pt>
                <c:pt idx="63">
                  <c:v>6580.21537374376</c:v>
                </c:pt>
                <c:pt idx="64">
                  <c:v>6645.53338370792</c:v>
                </c:pt>
                <c:pt idx="65">
                  <c:v>6709.88550551906</c:v>
                </c:pt>
                <c:pt idx="66">
                  <c:v>6773.28553409098</c:v>
                </c:pt>
                <c:pt idx="67">
                  <c:v>6835.74707429566</c:v>
                </c:pt>
                <c:pt idx="68">
                  <c:v>6897.28354348531</c:v>
                </c:pt>
                <c:pt idx="69">
                  <c:v>6957.9081739818</c:v>
                </c:pt>
                <c:pt idx="70">
                  <c:v>7017.63401553465</c:v>
                </c:pt>
                <c:pt idx="71">
                  <c:v>7076.47393774735</c:v>
                </c:pt>
                <c:pt idx="72">
                  <c:v>7134.4406324729</c:v>
                </c:pt>
                <c:pt idx="73">
                  <c:v>7191.54661617846</c:v>
                </c:pt>
                <c:pt idx="74">
                  <c:v>7247.80423228004</c:v>
                </c:pt>
                <c:pt idx="75">
                  <c:v>7303.22565344697</c:v>
                </c:pt>
                <c:pt idx="76">
                  <c:v>7357.82288387716</c:v>
                </c:pt>
                <c:pt idx="77">
                  <c:v>7411.60776154296</c:v>
                </c:pt>
                <c:pt idx="78">
                  <c:v>7464.59196040844</c:v>
                </c:pt>
                <c:pt idx="79">
                  <c:v>7516.78699261797</c:v>
                </c:pt>
                <c:pt idx="80">
                  <c:v>7568.20421065697</c:v>
                </c:pt>
              </c:numCache>
            </c:numRef>
          </c:val>
        </c:ser>
        <c:gapWidth val="150"/>
        <c:overlap val="100"/>
        <c:axId val="12194420"/>
        <c:axId val="24929778"/>
      </c:barChart>
      <c:lineChart>
        <c:grouping val="stacked"/>
        <c:varyColors val="0"/>
        <c:ser>
          <c:idx val="2"/>
          <c:order val="2"/>
          <c:tx>
            <c:strRef>
              <c:f>'Sens - Boiloff'!E4</c:f>
              <c:strCache>
                <c:ptCount val="1"/>
                <c:pt idx="0">
                  <c:v>VLSFO bought (t, active basis)</c:v>
                </c:pt>
              </c:strCache>
            </c:strRef>
          </c:tx>
          <c:spPr>
            <a:solidFill>
              <a:srgbClr val="6b7280"/>
            </a:solidFill>
            <a:ln w="15840">
              <a:solidFill>
                <a:srgbClr val="6b72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Boiloff'!$A$5:$A$85</c:f>
              <c:strCache>
                <c:ptCount val="81"/>
                <c:pt idx="0">
                  <c:v>0.00%</c:v>
                </c:pt>
                <c:pt idx="1">
                  <c:v>0.05%</c:v>
                </c:pt>
                <c:pt idx="2">
                  <c:v>0.10%</c:v>
                </c:pt>
                <c:pt idx="3">
                  <c:v>0.15%</c:v>
                </c:pt>
                <c:pt idx="4">
                  <c:v>0.20%</c:v>
                </c:pt>
                <c:pt idx="5">
                  <c:v>0.25%</c:v>
                </c:pt>
                <c:pt idx="6">
                  <c:v>0.30%</c:v>
                </c:pt>
                <c:pt idx="7">
                  <c:v>0.35%</c:v>
                </c:pt>
                <c:pt idx="8">
                  <c:v>0.40%</c:v>
                </c:pt>
                <c:pt idx="9">
                  <c:v>0.45%</c:v>
                </c:pt>
                <c:pt idx="10">
                  <c:v>0.50%</c:v>
                </c:pt>
                <c:pt idx="11">
                  <c:v>0.55%</c:v>
                </c:pt>
                <c:pt idx="12">
                  <c:v>0.60%</c:v>
                </c:pt>
                <c:pt idx="13">
                  <c:v>0.65%</c:v>
                </c:pt>
                <c:pt idx="14">
                  <c:v>0.70%</c:v>
                </c:pt>
                <c:pt idx="15">
                  <c:v>0.75%</c:v>
                </c:pt>
                <c:pt idx="16">
                  <c:v>0.80%</c:v>
                </c:pt>
                <c:pt idx="17">
                  <c:v>0.85%</c:v>
                </c:pt>
                <c:pt idx="18">
                  <c:v>0.90%</c:v>
                </c:pt>
                <c:pt idx="19">
                  <c:v>0.95%</c:v>
                </c:pt>
                <c:pt idx="20">
                  <c:v>1.00%</c:v>
                </c:pt>
                <c:pt idx="21">
                  <c:v>1.05%</c:v>
                </c:pt>
                <c:pt idx="22">
                  <c:v>1.10%</c:v>
                </c:pt>
                <c:pt idx="23">
                  <c:v>1.15%</c:v>
                </c:pt>
                <c:pt idx="24">
                  <c:v>1.20%</c:v>
                </c:pt>
                <c:pt idx="25">
                  <c:v>1.25%</c:v>
                </c:pt>
                <c:pt idx="26">
                  <c:v>1.30%</c:v>
                </c:pt>
                <c:pt idx="27">
                  <c:v>1.35%</c:v>
                </c:pt>
                <c:pt idx="28">
                  <c:v>1.40%</c:v>
                </c:pt>
                <c:pt idx="29">
                  <c:v>1.45%</c:v>
                </c:pt>
                <c:pt idx="30">
                  <c:v>1.50%</c:v>
                </c:pt>
                <c:pt idx="31">
                  <c:v>1.55%</c:v>
                </c:pt>
                <c:pt idx="32">
                  <c:v>1.60%</c:v>
                </c:pt>
                <c:pt idx="33">
                  <c:v>1.65%</c:v>
                </c:pt>
                <c:pt idx="34">
                  <c:v>1.70%</c:v>
                </c:pt>
                <c:pt idx="35">
                  <c:v>1.75%</c:v>
                </c:pt>
                <c:pt idx="36">
                  <c:v>1.80%</c:v>
                </c:pt>
                <c:pt idx="37">
                  <c:v>1.85%</c:v>
                </c:pt>
                <c:pt idx="38">
                  <c:v>1.90%</c:v>
                </c:pt>
                <c:pt idx="39">
                  <c:v>1.95%</c:v>
                </c:pt>
                <c:pt idx="40">
                  <c:v>2.00%</c:v>
                </c:pt>
                <c:pt idx="41">
                  <c:v>2.05%</c:v>
                </c:pt>
                <c:pt idx="42">
                  <c:v>2.10%</c:v>
                </c:pt>
                <c:pt idx="43">
                  <c:v>2.15%</c:v>
                </c:pt>
                <c:pt idx="44">
                  <c:v>2.20%</c:v>
                </c:pt>
                <c:pt idx="45">
                  <c:v>2.25%</c:v>
                </c:pt>
                <c:pt idx="46">
                  <c:v>2.30%</c:v>
                </c:pt>
                <c:pt idx="47">
                  <c:v>2.35%</c:v>
                </c:pt>
                <c:pt idx="48">
                  <c:v>2.40%</c:v>
                </c:pt>
                <c:pt idx="49">
                  <c:v>2.45%</c:v>
                </c:pt>
                <c:pt idx="50">
                  <c:v>2.50%</c:v>
                </c:pt>
                <c:pt idx="51">
                  <c:v>2.55%</c:v>
                </c:pt>
                <c:pt idx="52">
                  <c:v>2.60%</c:v>
                </c:pt>
                <c:pt idx="53">
                  <c:v>2.65%</c:v>
                </c:pt>
                <c:pt idx="54">
                  <c:v>2.70%</c:v>
                </c:pt>
                <c:pt idx="55">
                  <c:v>2.75%</c:v>
                </c:pt>
                <c:pt idx="56">
                  <c:v>2.80%</c:v>
                </c:pt>
                <c:pt idx="57">
                  <c:v>2.85%</c:v>
                </c:pt>
                <c:pt idx="58">
                  <c:v>2.90%</c:v>
                </c:pt>
                <c:pt idx="59">
                  <c:v>2.95%</c:v>
                </c:pt>
                <c:pt idx="60">
                  <c:v>3.00%</c:v>
                </c:pt>
                <c:pt idx="61">
                  <c:v>3.05%</c:v>
                </c:pt>
                <c:pt idx="62">
                  <c:v>3.10%</c:v>
                </c:pt>
                <c:pt idx="63">
                  <c:v>3.15%</c:v>
                </c:pt>
                <c:pt idx="64">
                  <c:v>3.20%</c:v>
                </c:pt>
                <c:pt idx="65">
                  <c:v>3.25%</c:v>
                </c:pt>
                <c:pt idx="66">
                  <c:v>3.30%</c:v>
                </c:pt>
                <c:pt idx="67">
                  <c:v>3.35%</c:v>
                </c:pt>
                <c:pt idx="68">
                  <c:v>3.40%</c:v>
                </c:pt>
                <c:pt idx="69">
                  <c:v>3.45%</c:v>
                </c:pt>
                <c:pt idx="70">
                  <c:v>3.50%</c:v>
                </c:pt>
                <c:pt idx="71">
                  <c:v>3.55%</c:v>
                </c:pt>
                <c:pt idx="72">
                  <c:v>3.60%</c:v>
                </c:pt>
                <c:pt idx="73">
                  <c:v>3.65%</c:v>
                </c:pt>
                <c:pt idx="74">
                  <c:v>3.70%</c:v>
                </c:pt>
                <c:pt idx="75">
                  <c:v>3.75%</c:v>
                </c:pt>
                <c:pt idx="76">
                  <c:v>3.80%</c:v>
                </c:pt>
                <c:pt idx="77">
                  <c:v>3.85%</c:v>
                </c:pt>
                <c:pt idx="78">
                  <c:v>3.90%</c:v>
                </c:pt>
                <c:pt idx="79">
                  <c:v>3.95%</c:v>
                </c:pt>
                <c:pt idx="80">
                  <c:v>4.00%</c:v>
                </c:pt>
              </c:strCache>
            </c:strRef>
          </c:cat>
          <c:val>
            <c:numRef>
              <c:f>'Sens - Boiloff'!$E$5:$E$85</c:f>
              <c:numCache>
                <c:formatCode>#,##0.0</c:formatCode>
                <c:ptCount val="81"/>
                <c:pt idx="0">
                  <c:v>746.058558558559</c:v>
                </c:pt>
                <c:pt idx="1">
                  <c:v>255.140342767301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194420"/>
        <c:axId val="24929778"/>
      </c:lineChart>
      <c:catAx>
        <c:axId val="121944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LH₂ voyage boil-off rate (%/day)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29778"/>
        <c:crosses val="autoZero"/>
        <c:auto val="1"/>
        <c:lblAlgn val="ctr"/>
        <c:lblOffset val="100"/>
        <c:noMultiLvlLbl val="0"/>
      </c:catAx>
      <c:valAx>
        <c:axId val="24929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tonnes H₂ (or t/day)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94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Boil-off management cost per kg H₂ delivered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'Sens - H2Price'!B4</c:f>
              <c:strCache>
                <c:ptCount val="1"/>
                <c:pt idx="0">
                  <c:v>LH₂ cost (USD/kg)</c:v>
                </c:pt>
              </c:strCache>
            </c:strRef>
          </c:tx>
          <c:spPr>
            <a:solidFill>
              <a:srgbClr val="0c7c9e"/>
            </a:solidFill>
            <a:ln w="21960">
              <a:solidFill>
                <a:srgbClr val="0c7c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H2Price'!$A$5:$A$53</c:f>
              <c:strCache>
                <c:ptCount val="49"/>
                <c:pt idx="0">
                  <c:v>$0.00</c:v>
                </c:pt>
                <c:pt idx="1">
                  <c:v>$0.25</c:v>
                </c:pt>
                <c:pt idx="2">
                  <c:v>$0.50</c:v>
                </c:pt>
                <c:pt idx="3">
                  <c:v>$0.75</c:v>
                </c:pt>
                <c:pt idx="4">
                  <c:v>$1.00</c:v>
                </c:pt>
                <c:pt idx="5">
                  <c:v>$1.25</c:v>
                </c:pt>
                <c:pt idx="6">
                  <c:v>$1.50</c:v>
                </c:pt>
                <c:pt idx="7">
                  <c:v>$1.75</c:v>
                </c:pt>
                <c:pt idx="8">
                  <c:v>$2.00</c:v>
                </c:pt>
                <c:pt idx="9">
                  <c:v>$2.25</c:v>
                </c:pt>
                <c:pt idx="10">
                  <c:v>$2.50</c:v>
                </c:pt>
                <c:pt idx="11">
                  <c:v>$2.75</c:v>
                </c:pt>
                <c:pt idx="12">
                  <c:v>$3.00</c:v>
                </c:pt>
                <c:pt idx="13">
                  <c:v>$3.25</c:v>
                </c:pt>
                <c:pt idx="14">
                  <c:v>$3.50</c:v>
                </c:pt>
                <c:pt idx="15">
                  <c:v>$3.75</c:v>
                </c:pt>
                <c:pt idx="16">
                  <c:v>$4.00</c:v>
                </c:pt>
                <c:pt idx="17">
                  <c:v>$4.25</c:v>
                </c:pt>
                <c:pt idx="18">
                  <c:v>$4.50</c:v>
                </c:pt>
                <c:pt idx="19">
                  <c:v>$4.75</c:v>
                </c:pt>
                <c:pt idx="20">
                  <c:v>$5.00</c:v>
                </c:pt>
                <c:pt idx="21">
                  <c:v>$5.25</c:v>
                </c:pt>
                <c:pt idx="22">
                  <c:v>$5.50</c:v>
                </c:pt>
                <c:pt idx="23">
                  <c:v>$5.75</c:v>
                </c:pt>
                <c:pt idx="24">
                  <c:v>$6.00</c:v>
                </c:pt>
                <c:pt idx="25">
                  <c:v>$6.25</c:v>
                </c:pt>
                <c:pt idx="26">
                  <c:v>$6.50</c:v>
                </c:pt>
                <c:pt idx="27">
                  <c:v>$6.75</c:v>
                </c:pt>
                <c:pt idx="28">
                  <c:v>$7.00</c:v>
                </c:pt>
                <c:pt idx="29">
                  <c:v>$7.25</c:v>
                </c:pt>
                <c:pt idx="30">
                  <c:v>$7.50</c:v>
                </c:pt>
                <c:pt idx="31">
                  <c:v>$7.75</c:v>
                </c:pt>
                <c:pt idx="32">
                  <c:v>$8.00</c:v>
                </c:pt>
                <c:pt idx="33">
                  <c:v>$8.25</c:v>
                </c:pt>
                <c:pt idx="34">
                  <c:v>$8.50</c:v>
                </c:pt>
                <c:pt idx="35">
                  <c:v>$8.75</c:v>
                </c:pt>
                <c:pt idx="36">
                  <c:v>$9.00</c:v>
                </c:pt>
                <c:pt idx="37">
                  <c:v>$9.25</c:v>
                </c:pt>
                <c:pt idx="38">
                  <c:v>$9.50</c:v>
                </c:pt>
                <c:pt idx="39">
                  <c:v>$9.75</c:v>
                </c:pt>
                <c:pt idx="40">
                  <c:v>$10.00</c:v>
                </c:pt>
                <c:pt idx="41">
                  <c:v>$10.25</c:v>
                </c:pt>
                <c:pt idx="42">
                  <c:v>$10.50</c:v>
                </c:pt>
                <c:pt idx="43">
                  <c:v>$10.75</c:v>
                </c:pt>
                <c:pt idx="44">
                  <c:v>$11.00</c:v>
                </c:pt>
                <c:pt idx="45">
                  <c:v>$11.25</c:v>
                </c:pt>
                <c:pt idx="46">
                  <c:v>$11.50</c:v>
                </c:pt>
                <c:pt idx="47">
                  <c:v>$11.75</c:v>
                </c:pt>
                <c:pt idx="48">
                  <c:v>$12.00</c:v>
                </c:pt>
              </c:strCache>
            </c:strRef>
          </c:cat>
          <c:val>
            <c:numRef>
              <c:f>'Sens - H2Price'!$B$5:$B$53</c:f>
              <c:numCache>
                <c:formatCode>\$#,##0.000</c:formatCode>
                <c:ptCount val="49"/>
                <c:pt idx="0">
                  <c:v>-0.0428047076995462</c:v>
                </c:pt>
                <c:pt idx="1">
                  <c:v>-0.0274134007255105</c:v>
                </c:pt>
                <c:pt idx="2">
                  <c:v>-0.0120220937514748</c:v>
                </c:pt>
                <c:pt idx="3">
                  <c:v>0.00336921322256088</c:v>
                </c:pt>
                <c:pt idx="4">
                  <c:v>0.0187605201965966</c:v>
                </c:pt>
                <c:pt idx="5">
                  <c:v>0.0341518271706323</c:v>
                </c:pt>
                <c:pt idx="6">
                  <c:v>0.049543134144668</c:v>
                </c:pt>
                <c:pt idx="7">
                  <c:v>0.0649344411187037</c:v>
                </c:pt>
                <c:pt idx="8">
                  <c:v>0.0803257480927394</c:v>
                </c:pt>
                <c:pt idx="9">
                  <c:v>0.095717055066775</c:v>
                </c:pt>
                <c:pt idx="10">
                  <c:v>0.111108362040811</c:v>
                </c:pt>
                <c:pt idx="11">
                  <c:v>0.126499669014846</c:v>
                </c:pt>
                <c:pt idx="12">
                  <c:v>0.141890975988882</c:v>
                </c:pt>
                <c:pt idx="13">
                  <c:v>0.157282282962918</c:v>
                </c:pt>
                <c:pt idx="14">
                  <c:v>0.172673589936954</c:v>
                </c:pt>
                <c:pt idx="15">
                  <c:v>0.188064896910989</c:v>
                </c:pt>
                <c:pt idx="16">
                  <c:v>0.203456203885025</c:v>
                </c:pt>
                <c:pt idx="17">
                  <c:v>0.218847510859061</c:v>
                </c:pt>
                <c:pt idx="18">
                  <c:v>0.234238817833096</c:v>
                </c:pt>
                <c:pt idx="19">
                  <c:v>0.249630124807132</c:v>
                </c:pt>
                <c:pt idx="20">
                  <c:v>0.265021431781168</c:v>
                </c:pt>
                <c:pt idx="21">
                  <c:v>0.280412738755203</c:v>
                </c:pt>
                <c:pt idx="22">
                  <c:v>0.295804045729239</c:v>
                </c:pt>
                <c:pt idx="23">
                  <c:v>0.311195352703275</c:v>
                </c:pt>
                <c:pt idx="24">
                  <c:v>0.326586659677311</c:v>
                </c:pt>
                <c:pt idx="25">
                  <c:v>0.341977966651346</c:v>
                </c:pt>
                <c:pt idx="26">
                  <c:v>0.357369273625382</c:v>
                </c:pt>
                <c:pt idx="27">
                  <c:v>0.372760580599418</c:v>
                </c:pt>
                <c:pt idx="28">
                  <c:v>0.388151887573453</c:v>
                </c:pt>
                <c:pt idx="29">
                  <c:v>0.403543194547489</c:v>
                </c:pt>
                <c:pt idx="30">
                  <c:v>0.418934501521525</c:v>
                </c:pt>
                <c:pt idx="31">
                  <c:v>0.43432580849556</c:v>
                </c:pt>
                <c:pt idx="32">
                  <c:v>0.449717115469596</c:v>
                </c:pt>
                <c:pt idx="33">
                  <c:v>0.465108422443632</c:v>
                </c:pt>
                <c:pt idx="34">
                  <c:v>0.480499729417668</c:v>
                </c:pt>
                <c:pt idx="35">
                  <c:v>0.495891036391703</c:v>
                </c:pt>
                <c:pt idx="36">
                  <c:v>0.511282343365739</c:v>
                </c:pt>
                <c:pt idx="37">
                  <c:v>0.526673650339775</c:v>
                </c:pt>
                <c:pt idx="38">
                  <c:v>0.54206495731381</c:v>
                </c:pt>
                <c:pt idx="39">
                  <c:v>0.557456264287846</c:v>
                </c:pt>
                <c:pt idx="40">
                  <c:v>0.572847571261882</c:v>
                </c:pt>
                <c:pt idx="41">
                  <c:v>0.588238878235918</c:v>
                </c:pt>
                <c:pt idx="42">
                  <c:v>0.603630185209953</c:v>
                </c:pt>
                <c:pt idx="43">
                  <c:v>0.619021492183989</c:v>
                </c:pt>
                <c:pt idx="44">
                  <c:v>0.634412799158025</c:v>
                </c:pt>
                <c:pt idx="45">
                  <c:v>0.64980410613206</c:v>
                </c:pt>
                <c:pt idx="46">
                  <c:v>0.665195413106096</c:v>
                </c:pt>
                <c:pt idx="47">
                  <c:v>0.680586720080132</c:v>
                </c:pt>
                <c:pt idx="48">
                  <c:v>0.695978027054167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'Sens - H2Price'!C4</c:f>
              <c:strCache>
                <c:ptCount val="1"/>
                <c:pt idx="0">
                  <c:v>NH₃ cost (USD/kg)</c:v>
                </c:pt>
              </c:strCache>
            </c:strRef>
          </c:tx>
          <c:spPr>
            <a:solidFill>
              <a:srgbClr val="a9660b"/>
            </a:solidFill>
            <a:ln w="21960">
              <a:solidFill>
                <a:srgbClr val="a966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'Sens - H2Price'!$A$5:$A$53</c:f>
              <c:strCache>
                <c:ptCount val="49"/>
                <c:pt idx="0">
                  <c:v>$0.00</c:v>
                </c:pt>
                <c:pt idx="1">
                  <c:v>$0.25</c:v>
                </c:pt>
                <c:pt idx="2">
                  <c:v>$0.50</c:v>
                </c:pt>
                <c:pt idx="3">
                  <c:v>$0.75</c:v>
                </c:pt>
                <c:pt idx="4">
                  <c:v>$1.00</c:v>
                </c:pt>
                <c:pt idx="5">
                  <c:v>$1.25</c:v>
                </c:pt>
                <c:pt idx="6">
                  <c:v>$1.50</c:v>
                </c:pt>
                <c:pt idx="7">
                  <c:v>$1.75</c:v>
                </c:pt>
                <c:pt idx="8">
                  <c:v>$2.00</c:v>
                </c:pt>
                <c:pt idx="9">
                  <c:v>$2.25</c:v>
                </c:pt>
                <c:pt idx="10">
                  <c:v>$2.50</c:v>
                </c:pt>
                <c:pt idx="11">
                  <c:v>$2.75</c:v>
                </c:pt>
                <c:pt idx="12">
                  <c:v>$3.00</c:v>
                </c:pt>
                <c:pt idx="13">
                  <c:v>$3.25</c:v>
                </c:pt>
                <c:pt idx="14">
                  <c:v>$3.50</c:v>
                </c:pt>
                <c:pt idx="15">
                  <c:v>$3.75</c:v>
                </c:pt>
                <c:pt idx="16">
                  <c:v>$4.00</c:v>
                </c:pt>
                <c:pt idx="17">
                  <c:v>$4.25</c:v>
                </c:pt>
                <c:pt idx="18">
                  <c:v>$4.50</c:v>
                </c:pt>
                <c:pt idx="19">
                  <c:v>$4.75</c:v>
                </c:pt>
                <c:pt idx="20">
                  <c:v>$5.00</c:v>
                </c:pt>
                <c:pt idx="21">
                  <c:v>$5.25</c:v>
                </c:pt>
                <c:pt idx="22">
                  <c:v>$5.50</c:v>
                </c:pt>
                <c:pt idx="23">
                  <c:v>$5.75</c:v>
                </c:pt>
                <c:pt idx="24">
                  <c:v>$6.00</c:v>
                </c:pt>
                <c:pt idx="25">
                  <c:v>$6.25</c:v>
                </c:pt>
                <c:pt idx="26">
                  <c:v>$6.50</c:v>
                </c:pt>
                <c:pt idx="27">
                  <c:v>$6.75</c:v>
                </c:pt>
                <c:pt idx="28">
                  <c:v>$7.00</c:v>
                </c:pt>
                <c:pt idx="29">
                  <c:v>$7.25</c:v>
                </c:pt>
                <c:pt idx="30">
                  <c:v>$7.50</c:v>
                </c:pt>
                <c:pt idx="31">
                  <c:v>$7.75</c:v>
                </c:pt>
                <c:pt idx="32">
                  <c:v>$8.00</c:v>
                </c:pt>
                <c:pt idx="33">
                  <c:v>$8.25</c:v>
                </c:pt>
                <c:pt idx="34">
                  <c:v>$8.50</c:v>
                </c:pt>
                <c:pt idx="35">
                  <c:v>$8.75</c:v>
                </c:pt>
                <c:pt idx="36">
                  <c:v>$9.00</c:v>
                </c:pt>
                <c:pt idx="37">
                  <c:v>$9.25</c:v>
                </c:pt>
                <c:pt idx="38">
                  <c:v>$9.50</c:v>
                </c:pt>
                <c:pt idx="39">
                  <c:v>$9.75</c:v>
                </c:pt>
                <c:pt idx="40">
                  <c:v>$10.00</c:v>
                </c:pt>
                <c:pt idx="41">
                  <c:v>$10.25</c:v>
                </c:pt>
                <c:pt idx="42">
                  <c:v>$10.50</c:v>
                </c:pt>
                <c:pt idx="43">
                  <c:v>$10.75</c:v>
                </c:pt>
                <c:pt idx="44">
                  <c:v>$11.00</c:v>
                </c:pt>
                <c:pt idx="45">
                  <c:v>$11.25</c:v>
                </c:pt>
                <c:pt idx="46">
                  <c:v>$11.50</c:v>
                </c:pt>
                <c:pt idx="47">
                  <c:v>$11.75</c:v>
                </c:pt>
                <c:pt idx="48">
                  <c:v>$12.00</c:v>
                </c:pt>
              </c:strCache>
            </c:strRef>
          </c:cat>
          <c:val>
            <c:numRef>
              <c:f>'Sens - H2Price'!$C$5:$C$53</c:f>
              <c:numCache>
                <c:formatCode>\$#,##0.000</c:formatCode>
                <c:ptCount val="49"/>
                <c:pt idx="0">
                  <c:v>0.0090088784928617</c:v>
                </c:pt>
                <c:pt idx="1">
                  <c:v>0.0090088784928617</c:v>
                </c:pt>
                <c:pt idx="2">
                  <c:v>0.0090088784928617</c:v>
                </c:pt>
                <c:pt idx="3">
                  <c:v>0.0090088784928617</c:v>
                </c:pt>
                <c:pt idx="4">
                  <c:v>0.0090088784928617</c:v>
                </c:pt>
                <c:pt idx="5">
                  <c:v>0.0090088784928617</c:v>
                </c:pt>
                <c:pt idx="6">
                  <c:v>0.0090088784928617</c:v>
                </c:pt>
                <c:pt idx="7">
                  <c:v>0.0090088784928617</c:v>
                </c:pt>
                <c:pt idx="8">
                  <c:v>0.0090088784928617</c:v>
                </c:pt>
                <c:pt idx="9">
                  <c:v>0.0090088784928617</c:v>
                </c:pt>
                <c:pt idx="10">
                  <c:v>0.0090088784928617</c:v>
                </c:pt>
                <c:pt idx="11">
                  <c:v>0.0090088784928617</c:v>
                </c:pt>
                <c:pt idx="12">
                  <c:v>0.0090088784928617</c:v>
                </c:pt>
                <c:pt idx="13">
                  <c:v>0.0090088784928617</c:v>
                </c:pt>
                <c:pt idx="14">
                  <c:v>0.0090088784928617</c:v>
                </c:pt>
                <c:pt idx="15">
                  <c:v>0.0090088784928617</c:v>
                </c:pt>
                <c:pt idx="16">
                  <c:v>0.0090088784928617</c:v>
                </c:pt>
                <c:pt idx="17">
                  <c:v>0.0090088784928617</c:v>
                </c:pt>
                <c:pt idx="18">
                  <c:v>0.0090088784928617</c:v>
                </c:pt>
                <c:pt idx="19">
                  <c:v>0.0090088784928617</c:v>
                </c:pt>
                <c:pt idx="20">
                  <c:v>0.0090088784928617</c:v>
                </c:pt>
                <c:pt idx="21">
                  <c:v>0.0090088784928617</c:v>
                </c:pt>
                <c:pt idx="22">
                  <c:v>0.0090088784928617</c:v>
                </c:pt>
                <c:pt idx="23">
                  <c:v>0.0090088784928617</c:v>
                </c:pt>
                <c:pt idx="24">
                  <c:v>0.0090088784928617</c:v>
                </c:pt>
                <c:pt idx="25">
                  <c:v>0.0090088784928617</c:v>
                </c:pt>
                <c:pt idx="26">
                  <c:v>0.0090088784928617</c:v>
                </c:pt>
                <c:pt idx="27">
                  <c:v>0.0090088784928617</c:v>
                </c:pt>
                <c:pt idx="28">
                  <c:v>0.0090088784928617</c:v>
                </c:pt>
                <c:pt idx="29">
                  <c:v>0.0090088784928617</c:v>
                </c:pt>
                <c:pt idx="30">
                  <c:v>0.0090088784928617</c:v>
                </c:pt>
                <c:pt idx="31">
                  <c:v>0.0090088784928617</c:v>
                </c:pt>
                <c:pt idx="32">
                  <c:v>0.0090088784928617</c:v>
                </c:pt>
                <c:pt idx="33">
                  <c:v>0.0090088784928617</c:v>
                </c:pt>
                <c:pt idx="34">
                  <c:v>0.0090088784928617</c:v>
                </c:pt>
                <c:pt idx="35">
                  <c:v>0.0090088784928617</c:v>
                </c:pt>
                <c:pt idx="36">
                  <c:v>0.0090088784928617</c:v>
                </c:pt>
                <c:pt idx="37">
                  <c:v>0.0090088784928617</c:v>
                </c:pt>
                <c:pt idx="38">
                  <c:v>0.0090088784928617</c:v>
                </c:pt>
                <c:pt idx="39">
                  <c:v>0.0090088784928617</c:v>
                </c:pt>
                <c:pt idx="40">
                  <c:v>0.0090088784928617</c:v>
                </c:pt>
                <c:pt idx="41">
                  <c:v>0.0090088784928617</c:v>
                </c:pt>
                <c:pt idx="42">
                  <c:v>0.0090088784928617</c:v>
                </c:pt>
                <c:pt idx="43">
                  <c:v>0.0090088784928617</c:v>
                </c:pt>
                <c:pt idx="44">
                  <c:v>0.0090088784928617</c:v>
                </c:pt>
                <c:pt idx="45">
                  <c:v>0.0090088784928617</c:v>
                </c:pt>
                <c:pt idx="46">
                  <c:v>0.0090088784928617</c:v>
                </c:pt>
                <c:pt idx="47">
                  <c:v>0.0090088784928617</c:v>
                </c:pt>
                <c:pt idx="48">
                  <c:v>0.0090088784928617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010796"/>
        <c:axId val="28945239"/>
      </c:lineChart>
      <c:catAx>
        <c:axId val="330107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placed on delivered hydrogen (USD/kg)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45239"/>
        <c:crosses val="autoZero"/>
        <c:auto val="1"/>
        <c:lblAlgn val="ctr"/>
        <c:lblOffset val="100"/>
        <c:noMultiLvlLbl val="0"/>
      </c:catAx>
      <c:valAx>
        <c:axId val="28945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per kg H₂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107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H₂-equivalent delivered per NH₃ vessel, by capacity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'NH3 Scenarios'!B4</c:f>
              <c:strCache>
                <c:ptCount val="1"/>
                <c:pt idx="0">
                  <c:v>Annual H₂-eq (ktpa/vessel)</c:v>
                </c:pt>
              </c:strCache>
            </c:strRef>
          </c:tx>
          <c:spPr>
            <a:solidFill>
              <a:srgbClr val="a966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'NH3 Scenarios'!$A$5:$A$8</c:f>
              <c:strCache>
                <c:ptCount val="4"/>
                <c:pt idx="0">
                  <c:v>24,000</c:v>
                </c:pt>
                <c:pt idx="1">
                  <c:v>40,000</c:v>
                </c:pt>
                <c:pt idx="2">
                  <c:v>60,000</c:v>
                </c:pt>
                <c:pt idx="3">
                  <c:v>90,000</c:v>
                </c:pt>
              </c:strCache>
            </c:strRef>
          </c:cat>
          <c:val>
            <c:numRef>
              <c:f>'NH3 Scenarios'!$B$5:$B$8</c:f>
              <c:numCache>
                <c:formatCode>#,##0.00</c:formatCode>
                <c:ptCount val="4"/>
                <c:pt idx="0">
                  <c:v>12.2495998259552</c:v>
                </c:pt>
                <c:pt idx="1">
                  <c:v>20.4159997099254</c:v>
                </c:pt>
                <c:pt idx="2">
                  <c:v>30.6239995648881</c:v>
                </c:pt>
                <c:pt idx="3">
                  <c:v>45.9359993473321</c:v>
                </c:pt>
              </c:numCache>
            </c:numRef>
          </c:val>
        </c:ser>
        <c:gapWidth val="150"/>
        <c:overlap val="0"/>
        <c:axId val="62458767"/>
        <c:axId val="23496953"/>
      </c:barChart>
      <c:lineChart>
        <c:grouping val="standard"/>
        <c:varyColors val="0"/>
        <c:ser>
          <c:idx val="1"/>
          <c:order val="1"/>
          <c:tx>
            <c:strRef>
              <c:f>'NH3 Scenarios'!F3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c7c9e"/>
            </a:solidFill>
            <a:ln w="21960">
              <a:solidFill>
                <a:srgbClr val="0c7c9e"/>
              </a:solidFill>
              <a:prstDash val="dash"/>
              <a:round/>
            </a:ln>
          </c:spPr>
          <c:marker>
            <c:symbol val="none"/>
          </c:marker>
          <c:cat>
            <c:strRef>
              <c:f>'NH3 Scenarios'!$A$5:$A$8</c:f>
              <c:strCache>
                <c:ptCount val="4"/>
                <c:pt idx="0">
                  <c:v>24,000</c:v>
                </c:pt>
                <c:pt idx="1">
                  <c:v>40,000</c:v>
                </c:pt>
                <c:pt idx="2">
                  <c:v>60,000</c:v>
                </c:pt>
                <c:pt idx="3">
                  <c:v>90,000</c:v>
                </c:pt>
              </c:strCache>
            </c:strRef>
          </c:cat>
          <c:val>
            <c:numRef>
              <c:f>'NH3 Scenarios'!$F$4:$F$8</c:f>
              <c:numCache>
                <c:formatCode>General</c:formatCode>
                <c:ptCount val="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458767"/>
        <c:axId val="23496953"/>
      </c:lineChart>
      <c:catAx>
        <c:axId val="624587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NH₃ capacity (m³)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96953"/>
        <c:crosses val="autoZero"/>
        <c:auto val="1"/>
        <c:lblAlgn val="ctr"/>
        <c:lblOffset val="100"/>
        <c:noMultiLvlLbl val="0"/>
      </c:catAx>
      <c:valAx>
        <c:axId val="234969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ktpa H₂-eq per vessel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587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47</xdr:row>
      <xdr:rowOff>0</xdr:rowOff>
    </xdr:from>
    <xdr:to>
      <xdr:col>9</xdr:col>
      <xdr:colOff>581760</xdr:colOff>
      <xdr:row>65</xdr:row>
      <xdr:rowOff>170280</xdr:rowOff>
    </xdr:to>
    <xdr:graphicFrame>
      <xdr:nvGraphicFramePr>
        <xdr:cNvPr id="0" name="Chart 1"/>
        <xdr:cNvGraphicFramePr/>
      </xdr:nvGraphicFramePr>
      <xdr:xfrm>
        <a:off x="0" y="9248760"/>
        <a:ext cx="79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89</xdr:row>
      <xdr:rowOff>0</xdr:rowOff>
    </xdr:from>
    <xdr:to>
      <xdr:col>15</xdr:col>
      <xdr:colOff>531720</xdr:colOff>
      <xdr:row>106</xdr:row>
      <xdr:rowOff>720</xdr:rowOff>
    </xdr:to>
    <xdr:graphicFrame>
      <xdr:nvGraphicFramePr>
        <xdr:cNvPr id="1" name="Chart 1"/>
        <xdr:cNvGraphicFramePr/>
      </xdr:nvGraphicFramePr>
      <xdr:xfrm>
        <a:off x="0" y="1724976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109</xdr:row>
      <xdr:rowOff>0</xdr:rowOff>
    </xdr:from>
    <xdr:to>
      <xdr:col>15</xdr:col>
      <xdr:colOff>531720</xdr:colOff>
      <xdr:row>126</xdr:row>
      <xdr:rowOff>720</xdr:rowOff>
    </xdr:to>
    <xdr:graphicFrame>
      <xdr:nvGraphicFramePr>
        <xdr:cNvPr id="2" name="Chart 2"/>
        <xdr:cNvGraphicFramePr/>
      </xdr:nvGraphicFramePr>
      <xdr:xfrm>
        <a:off x="0" y="21059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56</xdr:row>
      <xdr:rowOff>0</xdr:rowOff>
    </xdr:from>
    <xdr:to>
      <xdr:col>4</xdr:col>
      <xdr:colOff>451800</xdr:colOff>
      <xdr:row>74</xdr:row>
      <xdr:rowOff>170280</xdr:rowOff>
    </xdr:to>
    <xdr:graphicFrame>
      <xdr:nvGraphicFramePr>
        <xdr:cNvPr id="3" name="Chart 1"/>
        <xdr:cNvGraphicFramePr/>
      </xdr:nvGraphicFramePr>
      <xdr:xfrm>
        <a:off x="0" y="10963440"/>
        <a:ext cx="79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4</xdr:col>
      <xdr:colOff>789840</xdr:colOff>
      <xdr:row>29</xdr:row>
      <xdr:rowOff>170280</xdr:rowOff>
    </xdr:to>
    <xdr:graphicFrame>
      <xdr:nvGraphicFramePr>
        <xdr:cNvPr id="4" name="Chart 1"/>
        <xdr:cNvGraphicFramePr/>
      </xdr:nvGraphicFramePr>
      <xdr:xfrm>
        <a:off x="0" y="239076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26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27.7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22.05" hidden="false" customHeight="false" outlineLevel="0" collapsed="false">
      <c r="A5" s="5" t="str">
        <f aca="false">IF('Voyage Model'!$C$15&gt;'Voyage Model'!$D$15,"LH₂","NH₃")</f>
        <v>LH₂</v>
      </c>
      <c r="B5" s="6" t="n">
        <f aca="false">'Voyage Model'!$C$15</f>
        <v>55.2439303253357</v>
      </c>
      <c r="C5" s="6" t="n">
        <f aca="false">'Voyage Model'!$D$15</f>
        <v>12.2495998259552</v>
      </c>
      <c r="D5" s="7" t="n">
        <f aca="false">'Voyage Model'!$C$15/'Voyage Model'!$D$15</f>
        <v>4.50985592266299</v>
      </c>
    </row>
    <row r="6" customFormat="false" ht="22.35" hidden="false" customHeight="false" outlineLevel="0" collapsed="false">
      <c r="A6" s="8" t="s">
        <v>6</v>
      </c>
      <c r="B6" s="8" t="s">
        <v>7</v>
      </c>
      <c r="C6" s="8" t="s">
        <v>7</v>
      </c>
      <c r="D6" s="8" t="s">
        <v>8</v>
      </c>
    </row>
    <row r="8" customFormat="false" ht="15" hidden="false" customHeight="false" outlineLevel="0" collapsed="false">
      <c r="A8" s="4" t="s">
        <v>9</v>
      </c>
      <c r="B8" s="4" t="s">
        <v>10</v>
      </c>
      <c r="C8" s="4" t="s">
        <v>11</v>
      </c>
      <c r="D8" s="4" t="s">
        <v>12</v>
      </c>
    </row>
    <row r="9" customFormat="false" ht="22.05" hidden="false" customHeight="false" outlineLevel="0" collapsed="false">
      <c r="A9" s="9" t="n">
        <f aca="false">'Voyage Model'!$C$24</f>
        <v>2.57602693114889</v>
      </c>
      <c r="B9" s="10" t="n">
        <f aca="false">'Voyage Model'!$C$42</f>
        <v>0.265021431781168</v>
      </c>
      <c r="C9" s="10" t="n">
        <f aca="false">'Voyage Model'!$D$42</f>
        <v>0.0090088784928617</v>
      </c>
      <c r="D9" s="5" t="str">
        <f aca="false">IF('Voyage Model'!$C$42&lt;'Voyage Model'!$D$42,"LH₂","NH₃")</f>
        <v>NH₃</v>
      </c>
    </row>
    <row r="10" customFormat="false" ht="22.35" hidden="false" customHeight="false" outlineLevel="0" collapsed="false">
      <c r="A10" s="8" t="s">
        <v>13</v>
      </c>
      <c r="B10" s="8" t="s">
        <v>14</v>
      </c>
      <c r="C10" s="8" t="s">
        <v>14</v>
      </c>
      <c r="D10" s="8" t="s">
        <v>15</v>
      </c>
    </row>
    <row r="12" customFormat="false" ht="15" hidden="false" customHeight="false" outlineLevel="0" collapsed="false">
      <c r="A12" s="4" t="s">
        <v>16</v>
      </c>
      <c r="B12" s="4" t="s">
        <v>17</v>
      </c>
      <c r="C12" s="4" t="s">
        <v>18</v>
      </c>
      <c r="D12" s="4" t="s">
        <v>19</v>
      </c>
    </row>
    <row r="13" customFormat="false" ht="22.05" hidden="false" customHeight="false" outlineLevel="0" collapsed="false">
      <c r="A13" s="11" t="n">
        <f aca="false">'Voyage Model'!$B$46</f>
        <v>0.051122998348656</v>
      </c>
      <c r="B13" s="11" t="n">
        <f aca="false">'Voyage Model'!$B$47</f>
        <v>0.000762737328018459</v>
      </c>
      <c r="C13" s="12" t="n">
        <f aca="false">'Voyage Model'!$B$51</f>
        <v>0.841604716867363</v>
      </c>
      <c r="D13" s="13" t="n">
        <f aca="false">'Voyage Model'!$B$50</f>
        <v>108236.542143912</v>
      </c>
    </row>
    <row r="14" customFormat="false" ht="22.35" hidden="false" customHeight="false" outlineLevel="0" collapsed="false">
      <c r="A14" s="8" t="s">
        <v>20</v>
      </c>
      <c r="B14" s="8" t="s">
        <v>21</v>
      </c>
      <c r="C14" s="8" t="s">
        <v>22</v>
      </c>
      <c r="D14" s="8" t="s">
        <v>23</v>
      </c>
    </row>
    <row r="17" customFormat="false" ht="15" hidden="false" customHeight="false" outlineLevel="0" collapsed="false">
      <c r="A17" s="14" t="s">
        <v>24</v>
      </c>
      <c r="B17" s="14"/>
      <c r="C17" s="14"/>
      <c r="D17" s="14"/>
    </row>
    <row r="18" customFormat="false" ht="27.75" hidden="false" customHeight="true" outlineLevel="0" collapsed="false">
      <c r="A18" s="15" t="s">
        <v>25</v>
      </c>
      <c r="B18" s="15"/>
      <c r="C18" s="15"/>
      <c r="D18" s="15"/>
    </row>
    <row r="19" customFormat="false" ht="27.75" hidden="false" customHeight="true" outlineLevel="0" collapsed="false">
      <c r="A19" s="15" t="s">
        <v>26</v>
      </c>
      <c r="B19" s="15"/>
      <c r="C19" s="15"/>
      <c r="D19" s="15"/>
    </row>
    <row r="20" customFormat="false" ht="27.75" hidden="false" customHeight="true" outlineLevel="0" collapsed="false">
      <c r="A20" s="15" t="s">
        <v>27</v>
      </c>
      <c r="B20" s="15"/>
      <c r="C20" s="15"/>
      <c r="D20" s="15"/>
    </row>
    <row r="21" customFormat="false" ht="27.75" hidden="false" customHeight="true" outlineLevel="0" collapsed="false">
      <c r="A21" s="15" t="s">
        <v>28</v>
      </c>
      <c r="B21" s="15"/>
      <c r="C21" s="15"/>
      <c r="D21" s="15"/>
    </row>
    <row r="22" customFormat="false" ht="27.75" hidden="false" customHeight="true" outlineLevel="0" collapsed="false">
      <c r="A22" s="15" t="s">
        <v>29</v>
      </c>
      <c r="B22" s="15"/>
      <c r="C22" s="15"/>
      <c r="D22" s="15"/>
    </row>
  </sheetData>
  <mergeCells count="8">
    <mergeCell ref="A1:D1"/>
    <mergeCell ref="A2:D2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46"/>
  </cols>
  <sheetData>
    <row r="1" customFormat="false" ht="25.5" hidden="false" customHeight="true" outlineLevel="0" collapsed="false">
      <c r="A1" s="2" t="s">
        <v>30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31</v>
      </c>
      <c r="B2" s="3"/>
      <c r="C2" s="3"/>
      <c r="D2" s="3"/>
      <c r="E2" s="3"/>
    </row>
    <row r="4" customFormat="false" ht="15" hidden="false" customHeight="false" outlineLevel="0" collapsed="false">
      <c r="A4" s="16" t="s">
        <v>32</v>
      </c>
      <c r="B4" s="16" t="s">
        <v>33</v>
      </c>
      <c r="C4" s="16" t="s">
        <v>34</v>
      </c>
      <c r="D4" s="16" t="s">
        <v>35</v>
      </c>
      <c r="E4" s="16" t="s">
        <v>36</v>
      </c>
    </row>
    <row r="5" customFormat="false" ht="15" hidden="false" customHeight="false" outlineLevel="0" collapsed="false">
      <c r="A5" s="14" t="s">
        <v>37</v>
      </c>
      <c r="B5" s="14"/>
      <c r="C5" s="14"/>
      <c r="D5" s="14"/>
      <c r="E5" s="14"/>
    </row>
    <row r="6" customFormat="false" ht="43.25" hidden="false" customHeight="false" outlineLevel="0" collapsed="false">
      <c r="A6" s="17" t="s">
        <v>38</v>
      </c>
      <c r="B6" s="18" t="n">
        <v>21200</v>
      </c>
      <c r="C6" s="19" t="s">
        <v>39</v>
      </c>
      <c r="D6" s="20" t="s">
        <v>40</v>
      </c>
      <c r="E6" s="15" t="s">
        <v>41</v>
      </c>
    </row>
    <row r="8" customFormat="false" ht="15" hidden="false" customHeight="false" outlineLevel="0" collapsed="false">
      <c r="A8" s="21" t="s">
        <v>42</v>
      </c>
      <c r="B8" s="21"/>
      <c r="C8" s="21"/>
      <c r="D8" s="21"/>
      <c r="E8" s="21"/>
    </row>
    <row r="9" customFormat="false" ht="22.35" hidden="false" customHeight="false" outlineLevel="0" collapsed="false">
      <c r="A9" s="17" t="s">
        <v>43</v>
      </c>
      <c r="B9" s="18" t="n">
        <v>160000</v>
      </c>
      <c r="C9" s="19" t="s">
        <v>44</v>
      </c>
      <c r="D9" s="22" t="s">
        <v>45</v>
      </c>
      <c r="E9" s="15" t="s">
        <v>46</v>
      </c>
    </row>
    <row r="10" customFormat="false" ht="22.35" hidden="false" customHeight="false" outlineLevel="0" collapsed="false">
      <c r="A10" s="17" t="s">
        <v>47</v>
      </c>
      <c r="B10" s="23" t="n">
        <v>70.8</v>
      </c>
      <c r="C10" s="19" t="s">
        <v>48</v>
      </c>
      <c r="D10" s="24" t="s">
        <v>49</v>
      </c>
      <c r="E10" s="15" t="s">
        <v>50</v>
      </c>
    </row>
    <row r="11" customFormat="false" ht="15" hidden="false" customHeight="false" outlineLevel="0" collapsed="false">
      <c r="A11" s="17" t="s">
        <v>51</v>
      </c>
      <c r="B11" s="25" t="n">
        <v>0.98</v>
      </c>
      <c r="C11" s="19" t="s">
        <v>52</v>
      </c>
      <c r="D11" s="20" t="s">
        <v>53</v>
      </c>
      <c r="E11" s="15" t="s">
        <v>54</v>
      </c>
    </row>
    <row r="12" customFormat="false" ht="22.35" hidden="false" customHeight="false" outlineLevel="0" collapsed="false">
      <c r="A12" s="17" t="s">
        <v>55</v>
      </c>
      <c r="B12" s="23" t="n">
        <v>29.6</v>
      </c>
      <c r="C12" s="19" t="s">
        <v>56</v>
      </c>
      <c r="D12" s="22" t="s">
        <v>45</v>
      </c>
      <c r="E12" s="15" t="s">
        <v>57</v>
      </c>
    </row>
    <row r="13" customFormat="false" ht="15" hidden="false" customHeight="false" outlineLevel="0" collapsed="false">
      <c r="A13" s="17" t="s">
        <v>58</v>
      </c>
      <c r="B13" s="26" t="n">
        <v>1.25</v>
      </c>
      <c r="C13" s="19" t="s">
        <v>59</v>
      </c>
      <c r="D13" s="22" t="s">
        <v>45</v>
      </c>
      <c r="E13" s="15" t="s">
        <v>60</v>
      </c>
    </row>
    <row r="14" customFormat="false" ht="32.8" hidden="false" customHeight="false" outlineLevel="0" collapsed="false">
      <c r="A14" s="17" t="s">
        <v>61</v>
      </c>
      <c r="B14" s="27" t="n">
        <v>0.002</v>
      </c>
      <c r="C14" s="19" t="s">
        <v>62</v>
      </c>
      <c r="D14" s="20" t="s">
        <v>40</v>
      </c>
      <c r="E14" s="15" t="s">
        <v>63</v>
      </c>
    </row>
    <row r="15" customFormat="false" ht="32.8" hidden="false" customHeight="false" outlineLevel="0" collapsed="false">
      <c r="A15" s="17" t="s">
        <v>64</v>
      </c>
      <c r="B15" s="23" t="n">
        <v>25</v>
      </c>
      <c r="C15" s="19" t="s">
        <v>65</v>
      </c>
      <c r="D15" s="20" t="s">
        <v>53</v>
      </c>
      <c r="E15" s="15" t="s">
        <v>66</v>
      </c>
    </row>
    <row r="17" customFormat="false" ht="15" hidden="false" customHeight="false" outlineLevel="0" collapsed="false">
      <c r="A17" s="28" t="s">
        <v>67</v>
      </c>
      <c r="B17" s="28"/>
      <c r="C17" s="28"/>
      <c r="D17" s="28"/>
      <c r="E17" s="28"/>
    </row>
    <row r="18" customFormat="false" ht="32.8" hidden="false" customHeight="false" outlineLevel="0" collapsed="false">
      <c r="A18" s="17" t="s">
        <v>68</v>
      </c>
      <c r="B18" s="18" t="n">
        <v>24000</v>
      </c>
      <c r="C18" s="19" t="s">
        <v>44</v>
      </c>
      <c r="D18" s="20" t="s">
        <v>53</v>
      </c>
      <c r="E18" s="15" t="s">
        <v>69</v>
      </c>
    </row>
    <row r="19" customFormat="false" ht="22.35" hidden="false" customHeight="false" outlineLevel="0" collapsed="false">
      <c r="A19" s="17" t="s">
        <v>47</v>
      </c>
      <c r="B19" s="18" t="n">
        <v>682</v>
      </c>
      <c r="C19" s="19" t="s">
        <v>48</v>
      </c>
      <c r="D19" s="20" t="s">
        <v>40</v>
      </c>
      <c r="E19" s="15" t="s">
        <v>70</v>
      </c>
    </row>
    <row r="20" customFormat="false" ht="15" hidden="false" customHeight="false" outlineLevel="0" collapsed="false">
      <c r="A20" s="17" t="s">
        <v>51</v>
      </c>
      <c r="B20" s="25" t="n">
        <v>0.98</v>
      </c>
      <c r="C20" s="19" t="s">
        <v>52</v>
      </c>
      <c r="D20" s="20" t="s">
        <v>53</v>
      </c>
      <c r="E20" s="15" t="s">
        <v>71</v>
      </c>
    </row>
    <row r="21" customFormat="false" ht="15" hidden="false" customHeight="false" outlineLevel="0" collapsed="false">
      <c r="A21" s="17" t="s">
        <v>55</v>
      </c>
      <c r="B21" s="29" t="n">
        <v>13</v>
      </c>
      <c r="C21" s="19" t="s">
        <v>72</v>
      </c>
      <c r="D21" s="20" t="s">
        <v>53</v>
      </c>
      <c r="E21" s="15" t="s">
        <v>73</v>
      </c>
    </row>
    <row r="22" customFormat="false" ht="15" hidden="false" customHeight="false" outlineLevel="0" collapsed="false">
      <c r="A22" s="17" t="s">
        <v>74</v>
      </c>
      <c r="B22" s="30" t="n">
        <f aca="false">$B$21*1.852</f>
        <v>24.076</v>
      </c>
      <c r="C22" s="19" t="s">
        <v>56</v>
      </c>
      <c r="E22" s="15" t="s">
        <v>75</v>
      </c>
    </row>
    <row r="23" customFormat="false" ht="15" hidden="false" customHeight="false" outlineLevel="0" collapsed="false">
      <c r="A23" s="17" t="s">
        <v>58</v>
      </c>
      <c r="B23" s="26" t="n">
        <v>1.5</v>
      </c>
      <c r="C23" s="19" t="s">
        <v>59</v>
      </c>
      <c r="D23" s="20" t="s">
        <v>53</v>
      </c>
      <c r="E23" s="15" t="s">
        <v>76</v>
      </c>
    </row>
    <row r="24" customFormat="false" ht="15" hidden="false" customHeight="false" outlineLevel="0" collapsed="false">
      <c r="A24" s="17" t="s">
        <v>61</v>
      </c>
      <c r="B24" s="27" t="n">
        <v>0.0015</v>
      </c>
      <c r="C24" s="19" t="s">
        <v>62</v>
      </c>
      <c r="D24" s="20" t="s">
        <v>53</v>
      </c>
      <c r="E24" s="15" t="s">
        <v>77</v>
      </c>
    </row>
    <row r="25" customFormat="false" ht="15" hidden="false" customHeight="false" outlineLevel="0" collapsed="false">
      <c r="A25" s="17" t="s">
        <v>64</v>
      </c>
      <c r="B25" s="23" t="n">
        <v>25</v>
      </c>
      <c r="C25" s="19" t="s">
        <v>65</v>
      </c>
      <c r="D25" s="20" t="s">
        <v>53</v>
      </c>
      <c r="E25" s="15" t="s">
        <v>78</v>
      </c>
    </row>
    <row r="26" customFormat="false" ht="15" hidden="false" customHeight="false" outlineLevel="0" collapsed="false">
      <c r="A26" s="17" t="s">
        <v>79</v>
      </c>
      <c r="B26" s="26" t="n">
        <v>0.25</v>
      </c>
      <c r="C26" s="19" t="s">
        <v>80</v>
      </c>
      <c r="D26" s="20" t="s">
        <v>40</v>
      </c>
      <c r="E26" s="15" t="s">
        <v>81</v>
      </c>
    </row>
    <row r="27" customFormat="false" ht="15" hidden="false" customHeight="false" outlineLevel="0" collapsed="false">
      <c r="A27" s="17" t="s">
        <v>82</v>
      </c>
      <c r="B27" s="25" t="n">
        <v>0.45</v>
      </c>
      <c r="C27" s="19" t="s">
        <v>52</v>
      </c>
      <c r="D27" s="20" t="s">
        <v>53</v>
      </c>
      <c r="E27" s="15" t="s">
        <v>83</v>
      </c>
    </row>
    <row r="29" customFormat="false" ht="15" hidden="false" customHeight="false" outlineLevel="0" collapsed="false">
      <c r="A29" s="14" t="s">
        <v>84</v>
      </c>
      <c r="B29" s="14"/>
      <c r="C29" s="14"/>
      <c r="D29" s="14"/>
      <c r="E29" s="14"/>
    </row>
    <row r="30" customFormat="false" ht="15" hidden="false" customHeight="false" outlineLevel="0" collapsed="false">
      <c r="A30" s="17" t="s">
        <v>85</v>
      </c>
      <c r="B30" s="25" t="n">
        <v>0.9</v>
      </c>
      <c r="C30" s="19" t="s">
        <v>52</v>
      </c>
      <c r="D30" s="20" t="s">
        <v>53</v>
      </c>
      <c r="E30" s="15" t="s">
        <v>86</v>
      </c>
    </row>
    <row r="31" customFormat="false" ht="15" hidden="false" customHeight="false" outlineLevel="0" collapsed="false">
      <c r="A31" s="17" t="s">
        <v>87</v>
      </c>
      <c r="B31" s="18" t="n">
        <v>100</v>
      </c>
      <c r="C31" s="19" t="s">
        <v>88</v>
      </c>
      <c r="D31" s="20" t="s">
        <v>53</v>
      </c>
      <c r="E31" s="15" t="s">
        <v>89</v>
      </c>
    </row>
    <row r="32" customFormat="false" ht="15" hidden="false" customHeight="false" outlineLevel="0" collapsed="false">
      <c r="A32" s="17" t="s">
        <v>90</v>
      </c>
      <c r="B32" s="31" t="n">
        <v>5.632</v>
      </c>
      <c r="C32" s="19" t="s">
        <v>91</v>
      </c>
      <c r="D32" s="20" t="s">
        <v>53</v>
      </c>
      <c r="E32" s="15" t="s">
        <v>92</v>
      </c>
    </row>
    <row r="33" customFormat="false" ht="15" hidden="false" customHeight="false" outlineLevel="0" collapsed="false">
      <c r="A33" s="17" t="s">
        <v>93</v>
      </c>
      <c r="B33" s="29" t="n">
        <v>40.2</v>
      </c>
      <c r="C33" s="19" t="s">
        <v>94</v>
      </c>
      <c r="D33" s="20" t="s">
        <v>40</v>
      </c>
      <c r="E33" s="15" t="s">
        <v>95</v>
      </c>
    </row>
    <row r="34" customFormat="false" ht="15" hidden="false" customHeight="false" outlineLevel="0" collapsed="false">
      <c r="A34" s="17" t="s">
        <v>96</v>
      </c>
      <c r="B34" s="29" t="n">
        <v>120</v>
      </c>
      <c r="C34" s="19" t="s">
        <v>94</v>
      </c>
      <c r="D34" s="24" t="s">
        <v>49</v>
      </c>
      <c r="E34" s="15" t="s">
        <v>97</v>
      </c>
    </row>
    <row r="35" customFormat="false" ht="22.35" hidden="false" customHeight="false" outlineLevel="0" collapsed="false">
      <c r="A35" s="17" t="s">
        <v>98</v>
      </c>
      <c r="B35" s="26" t="n">
        <v>1</v>
      </c>
      <c r="C35" s="19" t="s">
        <v>91</v>
      </c>
      <c r="D35" s="20" t="s">
        <v>53</v>
      </c>
      <c r="E35" s="15" t="s">
        <v>99</v>
      </c>
    </row>
    <row r="36" customFormat="false" ht="22.35" hidden="false" customHeight="false" outlineLevel="0" collapsed="false">
      <c r="A36" s="17" t="s">
        <v>100</v>
      </c>
      <c r="B36" s="29" t="n">
        <v>11.6</v>
      </c>
      <c r="C36" s="19" t="s">
        <v>101</v>
      </c>
      <c r="D36" s="20" t="s">
        <v>40</v>
      </c>
      <c r="E36" s="15" t="s">
        <v>102</v>
      </c>
    </row>
    <row r="38" customFormat="false" ht="15" hidden="false" customHeight="false" outlineLevel="0" collapsed="false">
      <c r="A38" s="14" t="s">
        <v>103</v>
      </c>
      <c r="B38" s="14"/>
      <c r="C38" s="14"/>
      <c r="D38" s="14"/>
      <c r="E38" s="14"/>
    </row>
    <row r="39" customFormat="false" ht="22.35" hidden="false" customHeight="false" outlineLevel="0" collapsed="false">
      <c r="A39" s="17" t="s">
        <v>104</v>
      </c>
      <c r="B39" s="32" t="n">
        <v>5</v>
      </c>
      <c r="C39" s="19" t="s">
        <v>105</v>
      </c>
      <c r="D39" s="24" t="s">
        <v>49</v>
      </c>
      <c r="E39" s="15" t="s">
        <v>106</v>
      </c>
    </row>
    <row r="40" customFormat="false" ht="15" hidden="false" customHeight="false" outlineLevel="0" collapsed="false">
      <c r="A40" s="17" t="s">
        <v>107</v>
      </c>
      <c r="B40" s="33" t="n">
        <v>600</v>
      </c>
      <c r="C40" s="19" t="s">
        <v>108</v>
      </c>
      <c r="D40" s="24" t="s">
        <v>49</v>
      </c>
      <c r="E40" s="15" t="s">
        <v>109</v>
      </c>
    </row>
    <row r="41" customFormat="false" ht="32.8" hidden="false" customHeight="false" outlineLevel="0" collapsed="false">
      <c r="A41" s="17" t="s">
        <v>110</v>
      </c>
      <c r="B41" s="34" t="s">
        <v>111</v>
      </c>
      <c r="C41" s="19" t="s">
        <v>112</v>
      </c>
      <c r="D41" s="24" t="s">
        <v>113</v>
      </c>
      <c r="E41" s="15" t="s">
        <v>114</v>
      </c>
    </row>
    <row r="42" customFormat="false" ht="32.8" hidden="false" customHeight="false" outlineLevel="0" collapsed="false">
      <c r="A42" s="17" t="s">
        <v>115</v>
      </c>
      <c r="B42" s="34" t="s">
        <v>116</v>
      </c>
      <c r="C42" s="19" t="s">
        <v>112</v>
      </c>
      <c r="D42" s="24" t="s">
        <v>113</v>
      </c>
      <c r="E42" s="15" t="s">
        <v>117</v>
      </c>
    </row>
    <row r="43" customFormat="false" ht="22.35" hidden="false" customHeight="false" outlineLevel="0" collapsed="false">
      <c r="A43" s="17" t="s">
        <v>118</v>
      </c>
      <c r="B43" s="34" t="s">
        <v>119</v>
      </c>
      <c r="C43" s="19" t="s">
        <v>112</v>
      </c>
      <c r="D43" s="24" t="s">
        <v>113</v>
      </c>
      <c r="E43" s="15" t="s">
        <v>120</v>
      </c>
    </row>
    <row r="44" customFormat="false" ht="43.25" hidden="false" customHeight="false" outlineLevel="0" collapsed="false">
      <c r="A44" s="17" t="s">
        <v>121</v>
      </c>
      <c r="B44" s="31" t="n">
        <v>0.667</v>
      </c>
      <c r="C44" s="19" t="s">
        <v>122</v>
      </c>
      <c r="D44" s="20" t="s">
        <v>53</v>
      </c>
      <c r="E44" s="15" t="s">
        <v>123</v>
      </c>
    </row>
    <row r="46" customFormat="false" ht="15" hidden="false" customHeight="false" outlineLevel="0" collapsed="false">
      <c r="A46" s="14" t="s">
        <v>124</v>
      </c>
      <c r="B46" s="14"/>
      <c r="C46" s="14"/>
      <c r="D46" s="14"/>
      <c r="E46" s="14"/>
    </row>
    <row r="47" customFormat="false" ht="22.35" hidden="false" customHeight="false" outlineLevel="0" collapsed="false">
      <c r="A47" s="17" t="s">
        <v>125</v>
      </c>
      <c r="B47" s="35" t="n">
        <f aca="false">25*($B$9/24000)^0.667</f>
        <v>88.6108982200093</v>
      </c>
      <c r="C47" s="19" t="s">
        <v>65</v>
      </c>
      <c r="E47" s="15" t="s">
        <v>126</v>
      </c>
    </row>
    <row r="48" customFormat="false" ht="15" hidden="false" customHeight="false" outlineLevel="0" collapsed="false">
      <c r="A48" s="17" t="s">
        <v>127</v>
      </c>
      <c r="B48" s="35" t="n">
        <f aca="false">25*($B$18/24000)^0.667</f>
        <v>25</v>
      </c>
      <c r="C48" s="19" t="s">
        <v>65</v>
      </c>
      <c r="E48" s="15" t="s">
        <v>128</v>
      </c>
    </row>
  </sheetData>
  <mergeCells count="8">
    <mergeCell ref="A1:E1"/>
    <mergeCell ref="A2:E2"/>
    <mergeCell ref="A5:E5"/>
    <mergeCell ref="A8:E8"/>
    <mergeCell ref="A17:E17"/>
    <mergeCell ref="A29:E29"/>
    <mergeCell ref="A38:E38"/>
    <mergeCell ref="A46:E46"/>
  </mergeCells>
  <dataValidations count="5">
    <dataValidation allowBlank="false" errorStyle="stop" operator="between" showDropDown="false" showErrorMessage="false" showInputMessage="false" sqref="B9" type="list">
      <formula1>"40000,160000"</formula1>
      <formula2>0</formula2>
    </dataValidation>
    <dataValidation allowBlank="false" errorStyle="stop" operator="between" showDropDown="false" showErrorMessage="false" showInputMessage="false" sqref="B18" type="list">
      <formula1>"24000,40000,60000,90000"</formula1>
      <formula2>0</formula2>
    </dataValidation>
    <dataValidation allowBlank="false" errorStyle="stop" operator="between" showDropDown="false" showErrorMessage="false" showInputMessage="false" sqref="B41" type="list">
      <formula1>"Boil-off only,Full leg fuel bill"</formula1>
      <formula2>0</formula2>
    </dataValidation>
    <dataValidation allowBlank="false" errorStyle="stop" operator="between" showDropDown="false" showErrorMessage="false" showInputMessage="false" sqref="B42" type="list">
      <formula1>"Vented,GCU burned"</formula1>
      <formula2>0</formula2>
    </dataValidation>
    <dataValidation allowBlank="false" errorStyle="stop" operator="between" showDropDown="false" showErrorMessage="false" showInputMessage="false" sqref="B43" type="list">
      <formula1>"Per laden leg,Per 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tru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46"/>
  </cols>
  <sheetData>
    <row r="1" customFormat="false" ht="25.5" hidden="false" customHeight="true" outlineLevel="0" collapsed="false">
      <c r="A1" s="2" t="s">
        <v>129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130</v>
      </c>
      <c r="B2" s="3"/>
      <c r="C2" s="3"/>
      <c r="D2" s="3"/>
      <c r="E2" s="3"/>
    </row>
    <row r="4" customFormat="false" ht="15" hidden="false" customHeight="false" outlineLevel="0" collapsed="false">
      <c r="A4" s="16" t="s">
        <v>131</v>
      </c>
      <c r="B4" s="16" t="s">
        <v>34</v>
      </c>
      <c r="C4" s="36" t="s">
        <v>132</v>
      </c>
      <c r="D4" s="37" t="s">
        <v>133</v>
      </c>
      <c r="E4" s="16" t="s">
        <v>134</v>
      </c>
    </row>
    <row r="5" customFormat="false" ht="15" hidden="false" customHeight="false" outlineLevel="0" collapsed="false">
      <c r="A5" s="14" t="s">
        <v>135</v>
      </c>
      <c r="B5" s="14"/>
      <c r="C5" s="14"/>
      <c r="D5" s="14"/>
      <c r="E5" s="14"/>
    </row>
    <row r="6" customFormat="false" ht="15" hidden="false" customHeight="false" outlineLevel="0" collapsed="false">
      <c r="A6" s="17" t="s">
        <v>136</v>
      </c>
      <c r="B6" s="19" t="s">
        <v>59</v>
      </c>
      <c r="C6" s="38" t="n">
        <f aca="false">Inputs!$B$6/Inputs!$B$12/24</f>
        <v>29.8423423423423</v>
      </c>
      <c r="D6" s="39" t="n">
        <f aca="false">Inputs!$B$6/Inputs!$B$22/24</f>
        <v>36.6893725425043</v>
      </c>
    </row>
    <row r="7" customFormat="false" ht="15" hidden="false" customHeight="false" outlineLevel="0" collapsed="false">
      <c r="A7" s="17" t="s">
        <v>137</v>
      </c>
      <c r="B7" s="19" t="s">
        <v>59</v>
      </c>
      <c r="C7" s="38" t="n">
        <f aca="false">2*$C$6+2*Inputs!$B$13</f>
        <v>62.1846846846847</v>
      </c>
      <c r="D7" s="39" t="n">
        <f aca="false">2*$D$6+2*Inputs!$B$23</f>
        <v>76.3787450850086</v>
      </c>
    </row>
    <row r="8" customFormat="false" ht="15" hidden="false" customHeight="false" outlineLevel="0" collapsed="false">
      <c r="A8" s="17" t="s">
        <v>138</v>
      </c>
      <c r="B8" s="19" t="s">
        <v>139</v>
      </c>
      <c r="C8" s="40" t="n">
        <f aca="false">Inputs!$B$9*Inputs!$B$10*Inputs!$B$11</f>
        <v>11101440</v>
      </c>
      <c r="D8" s="41" t="n">
        <f aca="false">Inputs!$B$18*Inputs!$B$19*Inputs!$B$20</f>
        <v>16040640</v>
      </c>
    </row>
    <row r="9" customFormat="false" ht="22.35" hidden="false" customHeight="false" outlineLevel="0" collapsed="false">
      <c r="A9" s="17" t="s">
        <v>140</v>
      </c>
      <c r="B9" s="19" t="s">
        <v>52</v>
      </c>
      <c r="C9" s="42" t="n">
        <f aca="false">1-(1-Inputs!$B$14)^$C$6</f>
        <v>0.0579947668577611</v>
      </c>
      <c r="D9" s="43" t="n">
        <f aca="false">1-(1-Inputs!$B$24)^$D$6</f>
        <v>0.0535861913194011</v>
      </c>
      <c r="E9" s="15" t="s">
        <v>141</v>
      </c>
    </row>
    <row r="10" customFormat="false" ht="22.35" hidden="false" customHeight="false" outlineLevel="0" collapsed="false">
      <c r="A10" s="17" t="s">
        <v>142</v>
      </c>
      <c r="B10" s="19" t="s">
        <v>52</v>
      </c>
      <c r="C10" s="42" t="n">
        <f aca="false">$C$9</f>
        <v>0.0579947668577611</v>
      </c>
      <c r="D10" s="43" t="n">
        <f aca="false">0</f>
        <v>0</v>
      </c>
      <c r="E10" s="15" t="s">
        <v>143</v>
      </c>
    </row>
    <row r="11" customFormat="false" ht="15" hidden="false" customHeight="false" outlineLevel="0" collapsed="false">
      <c r="A11" s="17" t="s">
        <v>144</v>
      </c>
      <c r="B11" s="19" t="s">
        <v>139</v>
      </c>
      <c r="C11" s="40" t="n">
        <f aca="false">$C$8*(1-$C$10)</f>
        <v>10457614.5754146</v>
      </c>
      <c r="D11" s="41" t="n">
        <f aca="false">$D$8*(1-$D$10)</f>
        <v>16040640</v>
      </c>
    </row>
    <row r="12" customFormat="false" ht="15" hidden="false" customHeight="false" outlineLevel="0" collapsed="false">
      <c r="A12" s="17" t="s">
        <v>145</v>
      </c>
      <c r="B12" s="19" t="s">
        <v>146</v>
      </c>
      <c r="C12" s="38" t="n">
        <f aca="false">365/$C$7*Inputs!$B$30</f>
        <v>5.28265121332851</v>
      </c>
      <c r="D12" s="39" t="n">
        <f aca="false">365/$D$7*Inputs!$B$30</f>
        <v>4.30093476443458</v>
      </c>
    </row>
    <row r="13" customFormat="false" ht="15" hidden="false" customHeight="false" outlineLevel="0" collapsed="false">
      <c r="A13" s="17" t="s">
        <v>147</v>
      </c>
      <c r="B13" s="19" t="s">
        <v>148</v>
      </c>
      <c r="C13" s="40" t="n">
        <f aca="false">$C$11*$C$12</f>
        <v>55243930.3253357</v>
      </c>
      <c r="D13" s="41" t="n">
        <f aca="false">$D$11*$D$12</f>
        <v>68989746.2197799</v>
      </c>
    </row>
    <row r="14" customFormat="false" ht="15" hidden="false" customHeight="false" outlineLevel="0" collapsed="false">
      <c r="A14" s="17" t="s">
        <v>149</v>
      </c>
      <c r="B14" s="19" t="s">
        <v>148</v>
      </c>
      <c r="C14" s="40" t="n">
        <f aca="false">$C$13</f>
        <v>55243930.3253357</v>
      </c>
      <c r="D14" s="41" t="n">
        <f aca="false">$D$13/Inputs!$B$32</f>
        <v>12249599.8259552</v>
      </c>
    </row>
    <row r="15" customFormat="false" ht="15" hidden="false" customHeight="false" outlineLevel="0" collapsed="false">
      <c r="A15" s="17" t="s">
        <v>149</v>
      </c>
      <c r="B15" s="19" t="s">
        <v>88</v>
      </c>
      <c r="C15" s="44" t="n">
        <f aca="false">$C$14/1000000</f>
        <v>55.2439303253357</v>
      </c>
      <c r="D15" s="45" t="n">
        <f aca="false">$D$14/1000000</f>
        <v>12.2495998259552</v>
      </c>
    </row>
    <row r="16" customFormat="false" ht="22.35" hidden="false" customHeight="false" outlineLevel="0" collapsed="false">
      <c r="A16" s="17" t="s">
        <v>150</v>
      </c>
      <c r="B16" s="19" t="s">
        <v>151</v>
      </c>
      <c r="C16" s="46" t="n">
        <f aca="false">CEILING(Inputs!$B$31*1000000/$C$13,1)</f>
        <v>2</v>
      </c>
      <c r="D16" s="47" t="n">
        <f aca="false">CEILING(Inputs!$B$31*1000000*Inputs!$B$32/$D$13,1)</f>
        <v>9</v>
      </c>
      <c r="E16" s="15" t="s">
        <v>152</v>
      </c>
    </row>
    <row r="18" customFormat="false" ht="15" hidden="false" customHeight="false" outlineLevel="0" collapsed="false">
      <c r="A18" s="14" t="s">
        <v>153</v>
      </c>
      <c r="B18" s="14"/>
      <c r="C18" s="14"/>
      <c r="D18" s="14"/>
      <c r="E18" s="14"/>
    </row>
    <row r="19" customFormat="false" ht="15" hidden="false" customHeight="false" outlineLevel="0" collapsed="false">
      <c r="A19" s="17" t="s">
        <v>154</v>
      </c>
      <c r="B19" s="19" t="s">
        <v>155</v>
      </c>
      <c r="C19" s="40" t="n">
        <f aca="false">Inputs!$B$15*1000*$C$6*Inputs!$B$33</f>
        <v>29991554.0540541</v>
      </c>
      <c r="D19" s="41" t="n">
        <f aca="false">Inputs!$B$25*1000*$D$6*Inputs!$B$33</f>
        <v>36872819.4052168</v>
      </c>
    </row>
    <row r="20" customFormat="false" ht="15" hidden="false" customHeight="false" outlineLevel="0" collapsed="false">
      <c r="A20" s="17" t="s">
        <v>156</v>
      </c>
      <c r="B20" s="19" t="s">
        <v>139</v>
      </c>
      <c r="C20" s="40" t="n">
        <f aca="false">$C$8*$C$9</f>
        <v>643825.424585423</v>
      </c>
      <c r="D20" s="41" t="n">
        <f aca="false">$D$8*$D$9</f>
        <v>859556.803925638</v>
      </c>
    </row>
    <row r="21" customFormat="false" ht="22.35" hidden="false" customHeight="false" outlineLevel="0" collapsed="false">
      <c r="A21" s="17" t="s">
        <v>157</v>
      </c>
      <c r="B21" s="19" t="s">
        <v>155</v>
      </c>
      <c r="C21" s="40" t="n">
        <f aca="false">$C$20*Inputs!$B$34*Inputs!$B$35</f>
        <v>77259050.9502508</v>
      </c>
      <c r="D21" s="41" t="n">
        <f aca="false">0</f>
        <v>0</v>
      </c>
      <c r="E21" s="15" t="s">
        <v>158</v>
      </c>
    </row>
    <row r="22" customFormat="false" ht="15" hidden="false" customHeight="false" outlineLevel="0" collapsed="false">
      <c r="A22" s="17" t="s">
        <v>159</v>
      </c>
      <c r="B22" s="19" t="s">
        <v>155</v>
      </c>
      <c r="C22" s="40" t="n">
        <f aca="false">MIN($C$21,$C$19)</f>
        <v>29991554.0540541</v>
      </c>
      <c r="D22" s="41" t="n">
        <f aca="false">0</f>
        <v>0</v>
      </c>
    </row>
    <row r="23" customFormat="false" ht="15" hidden="false" customHeight="false" outlineLevel="0" collapsed="false">
      <c r="A23" s="17" t="s">
        <v>160</v>
      </c>
      <c r="B23" s="19" t="s">
        <v>155</v>
      </c>
      <c r="C23" s="40" t="n">
        <f aca="false">MAX(0,$C$21-$C$19)</f>
        <v>47267496.8961967</v>
      </c>
      <c r="D23" s="41" t="n">
        <f aca="false">0</f>
        <v>0</v>
      </c>
    </row>
    <row r="24" customFormat="false" ht="22.35" hidden="false" customHeight="false" outlineLevel="0" collapsed="false">
      <c r="A24" s="17" t="s">
        <v>161</v>
      </c>
      <c r="B24" s="19" t="s">
        <v>52</v>
      </c>
      <c r="C24" s="48" t="n">
        <f aca="false">IF($C$19=0,0,$C$21/$C$19)</f>
        <v>2.57602693114889</v>
      </c>
      <c r="D24" s="49" t="n">
        <f aca="false">0</f>
        <v>0</v>
      </c>
      <c r="E24" s="15" t="s">
        <v>162</v>
      </c>
    </row>
    <row r="25" customFormat="false" ht="15" hidden="false" customHeight="false" outlineLevel="0" collapsed="false">
      <c r="A25" s="17" t="s">
        <v>163</v>
      </c>
      <c r="B25" s="19" t="s">
        <v>139</v>
      </c>
      <c r="C25" s="40" t="n">
        <f aca="false">IF(Inputs!$B$34*Inputs!$B$35=0,0,$C$22/(Inputs!$B$34*Inputs!$B$35))</f>
        <v>249929.617117117</v>
      </c>
      <c r="D25" s="41" t="n">
        <f aca="false">0</f>
        <v>0</v>
      </c>
    </row>
    <row r="26" customFormat="false" ht="15" hidden="false" customHeight="false" outlineLevel="0" collapsed="false">
      <c r="A26" s="17" t="s">
        <v>164</v>
      </c>
      <c r="B26" s="19" t="s">
        <v>139</v>
      </c>
      <c r="C26" s="40" t="n">
        <f aca="false">IF(Inputs!$B$34*Inputs!$B$35=0,0,$C$23/(Inputs!$B$34*Inputs!$B$35))</f>
        <v>393895.807468306</v>
      </c>
      <c r="D26" s="41" t="n">
        <f aca="false">0</f>
        <v>0</v>
      </c>
    </row>
    <row r="27" customFormat="false" ht="22.35" hidden="false" customHeight="false" outlineLevel="0" collapsed="false">
      <c r="A27" s="17" t="s">
        <v>165</v>
      </c>
      <c r="B27" s="19" t="s">
        <v>166</v>
      </c>
      <c r="C27" s="50" t="n">
        <f aca="false">MAX(0,$C$19-$C$21)/Inputs!$B$33/1000</f>
        <v>0</v>
      </c>
      <c r="D27" s="51" t="n">
        <f aca="false">Inputs!$B$25*$D$6</f>
        <v>917.234313562607</v>
      </c>
      <c r="E27" s="15" t="s">
        <v>167</v>
      </c>
    </row>
    <row r="28" customFormat="false" ht="15" hidden="false" customHeight="false" outlineLevel="0" collapsed="false">
      <c r="A28" s="17" t="s">
        <v>168</v>
      </c>
      <c r="B28" s="19" t="s">
        <v>166</v>
      </c>
      <c r="C28" s="50" t="n">
        <f aca="false">$C$22/Inputs!$B$33/1000</f>
        <v>746.058558558559</v>
      </c>
      <c r="D28" s="51" t="n">
        <f aca="false">0</f>
        <v>0</v>
      </c>
    </row>
    <row r="29" customFormat="false" ht="15" hidden="false" customHeight="false" outlineLevel="0" collapsed="false">
      <c r="A29" s="17" t="s">
        <v>169</v>
      </c>
      <c r="B29" s="19" t="s">
        <v>170</v>
      </c>
      <c r="C29" s="40" t="n">
        <f aca="false">0</f>
        <v>0</v>
      </c>
      <c r="D29" s="41" t="n">
        <f aca="false">$D$20*Inputs!$B$26</f>
        <v>214889.20098141</v>
      </c>
    </row>
    <row r="30" customFormat="false" ht="15" hidden="false" customHeight="false" outlineLevel="0" collapsed="false">
      <c r="A30" s="17" t="s">
        <v>171</v>
      </c>
      <c r="B30" s="19" t="s">
        <v>166</v>
      </c>
      <c r="C30" s="50" t="n">
        <f aca="false">0</f>
        <v>0</v>
      </c>
      <c r="D30" s="51" t="n">
        <f aca="false">$D$29*3.6/(Inputs!$B$33*Inputs!$B$27)/1000</f>
        <v>42.7640200958029</v>
      </c>
    </row>
    <row r="31" customFormat="false" ht="15" hidden="false" customHeight="false" outlineLevel="0" collapsed="false">
      <c r="A31" s="17" t="s">
        <v>172</v>
      </c>
      <c r="B31" s="19" t="s">
        <v>166</v>
      </c>
      <c r="C31" s="50" t="n">
        <f aca="false">$C$27</f>
        <v>0</v>
      </c>
      <c r="D31" s="51" t="n">
        <f aca="false">$D$27+$D$30</f>
        <v>959.99833365841</v>
      </c>
    </row>
    <row r="32" customFormat="false" ht="15" hidden="false" customHeight="false" outlineLevel="0" collapsed="false">
      <c r="A32" s="17" t="s">
        <v>173</v>
      </c>
      <c r="B32" s="19" t="s">
        <v>139</v>
      </c>
      <c r="C32" s="40" t="n">
        <f aca="false">$C$20</f>
        <v>643825.424585423</v>
      </c>
      <c r="D32" s="41" t="n">
        <f aca="false">0</f>
        <v>0</v>
      </c>
      <c r="E32" s="15" t="s">
        <v>174</v>
      </c>
    </row>
    <row r="33" customFormat="false" ht="15" hidden="false" customHeight="false" outlineLevel="0" collapsed="false">
      <c r="A33" s="17" t="s">
        <v>175</v>
      </c>
      <c r="B33" s="19" t="s">
        <v>139</v>
      </c>
      <c r="C33" s="40" t="n">
        <f aca="false">$C$11</f>
        <v>10457614.5754146</v>
      </c>
      <c r="D33" s="41" t="n">
        <f aca="false">$D$11/Inputs!$B$32</f>
        <v>2848125</v>
      </c>
    </row>
    <row r="34" customFormat="false" ht="32.8" hidden="false" customHeight="false" outlineLevel="0" collapsed="false">
      <c r="A34" s="17" t="s">
        <v>176</v>
      </c>
      <c r="B34" s="19" t="s">
        <v>177</v>
      </c>
      <c r="C34" s="40" t="n">
        <f aca="false">IF(Inputs!$B$42="Vented",$C$26*Inputs!$B$36,0)</f>
        <v>4569191.36663235</v>
      </c>
      <c r="D34" s="41" t="n">
        <f aca="false">0</f>
        <v>0</v>
      </c>
      <c r="E34" s="15" t="s">
        <v>178</v>
      </c>
    </row>
    <row r="36" customFormat="false" ht="15" hidden="false" customHeight="false" outlineLevel="0" collapsed="false">
      <c r="A36" s="14" t="s">
        <v>179</v>
      </c>
      <c r="B36" s="14"/>
      <c r="C36" s="14"/>
      <c r="D36" s="14"/>
      <c r="E36" s="14"/>
    </row>
    <row r="37" customFormat="false" ht="15" hidden="false" customHeight="false" outlineLevel="0" collapsed="false">
      <c r="A37" s="17" t="s">
        <v>180</v>
      </c>
      <c r="B37" s="19" t="s">
        <v>181</v>
      </c>
      <c r="C37" s="52" t="n">
        <f aca="false">$C$32*Inputs!$B$39</f>
        <v>3219127.12292712</v>
      </c>
      <c r="D37" s="53" t="n">
        <f aca="false">0</f>
        <v>0</v>
      </c>
    </row>
    <row r="38" customFormat="false" ht="22.35" hidden="false" customHeight="false" outlineLevel="0" collapsed="false">
      <c r="A38" s="17" t="s">
        <v>182</v>
      </c>
      <c r="B38" s="19" t="s">
        <v>181</v>
      </c>
      <c r="C38" s="52" t="n">
        <f aca="false">($C$30-$C$28)*Inputs!$B$40</f>
        <v>-447635.135135135</v>
      </c>
      <c r="D38" s="53" t="n">
        <f aca="false">($D$30-$D$28)*Inputs!$B$40</f>
        <v>25658.4120574817</v>
      </c>
      <c r="E38" s="15" t="s">
        <v>183</v>
      </c>
    </row>
    <row r="39" customFormat="false" ht="15" hidden="false" customHeight="false" outlineLevel="0" collapsed="false">
      <c r="A39" s="17" t="s">
        <v>184</v>
      </c>
      <c r="B39" s="19" t="s">
        <v>181</v>
      </c>
      <c r="C39" s="52" t="n">
        <f aca="false">$C$31*Inputs!$B$40</f>
        <v>0</v>
      </c>
      <c r="D39" s="53" t="n">
        <f aca="false">$D$31*Inputs!$B$40</f>
        <v>575999.000195046</v>
      </c>
    </row>
    <row r="40" customFormat="false" ht="15" hidden="false" customHeight="false" outlineLevel="0" collapsed="false">
      <c r="A40" s="17" t="s">
        <v>185</v>
      </c>
      <c r="B40" s="19" t="s">
        <v>181</v>
      </c>
      <c r="C40" s="52" t="n">
        <f aca="false">IF(Inputs!$B$41="Boil-off only",$C$38,$C$39)</f>
        <v>-447635.135135135</v>
      </c>
      <c r="D40" s="53" t="n">
        <f aca="false">IF(Inputs!$B$41="Boil-off only",$D$38,$D$39)</f>
        <v>25658.4120574817</v>
      </c>
    </row>
    <row r="41" customFormat="false" ht="15" hidden="false" customHeight="false" outlineLevel="0" collapsed="false">
      <c r="A41" s="17" t="s">
        <v>186</v>
      </c>
      <c r="B41" s="19" t="s">
        <v>181</v>
      </c>
      <c r="C41" s="52" t="n">
        <f aca="false">$C$37+$C$40</f>
        <v>2771491.98779198</v>
      </c>
      <c r="D41" s="53" t="n">
        <f aca="false">$D$37+$D$40</f>
        <v>25658.4120574817</v>
      </c>
    </row>
    <row r="42" customFormat="false" ht="15" hidden="false" customHeight="false" outlineLevel="0" collapsed="false">
      <c r="A42" s="17" t="s">
        <v>187</v>
      </c>
      <c r="B42" s="19" t="s">
        <v>105</v>
      </c>
      <c r="C42" s="54" t="n">
        <f aca="false">$C$41/$C$33</f>
        <v>0.265021431781168</v>
      </c>
      <c r="D42" s="55" t="n">
        <f aca="false">$D$41/$D$33</f>
        <v>0.0090088784928617</v>
      </c>
    </row>
    <row r="44" customFormat="false" ht="15" hidden="false" customHeight="false" outlineLevel="0" collapsed="false">
      <c r="A44" s="14" t="s">
        <v>188</v>
      </c>
      <c r="B44" s="14"/>
      <c r="C44" s="14"/>
      <c r="D44" s="14"/>
      <c r="E44" s="14"/>
    </row>
    <row r="45" customFormat="false" ht="15" hidden="false" customHeight="false" outlineLevel="0" collapsed="false">
      <c r="A45" s="16" t="s">
        <v>131</v>
      </c>
      <c r="B45" s="16" t="s">
        <v>33</v>
      </c>
      <c r="C45" s="16" t="s">
        <v>34</v>
      </c>
      <c r="E45" s="16" t="s">
        <v>189</v>
      </c>
    </row>
    <row r="46" customFormat="false" ht="32.8" hidden="false" customHeight="false" outlineLevel="0" collapsed="false">
      <c r="A46" s="17" t="s">
        <v>190</v>
      </c>
      <c r="B46" s="56" t="n">
        <f aca="false">1-(($D$14)/($C$8*$C$12))^(1/$C$6)</f>
        <v>0.051122998348656</v>
      </c>
      <c r="C46" s="19" t="s">
        <v>62</v>
      </c>
      <c r="E46" s="15" t="s">
        <v>191</v>
      </c>
    </row>
    <row r="47" customFormat="false" ht="22.35" hidden="false" customHeight="false" outlineLevel="0" collapsed="false">
      <c r="A47" s="17" t="s">
        <v>192</v>
      </c>
      <c r="B47" s="56" t="n">
        <f aca="false">1-(1-($C$19/($C$8*Inputs!$B$34*Inputs!$B$35)))^(1/$C$6)</f>
        <v>0.000762737328018459</v>
      </c>
      <c r="C47" s="19" t="s">
        <v>62</v>
      </c>
      <c r="E47" s="15" t="s">
        <v>193</v>
      </c>
    </row>
    <row r="48" customFormat="false" ht="32.8" hidden="false" customHeight="false" outlineLevel="0" collapsed="false">
      <c r="A48" s="17" t="s">
        <v>194</v>
      </c>
      <c r="B48" s="57" t="n">
        <f aca="false">Inputs!$B$6/(12*((365*Inputs!$B$30/($C$14*Inputs!$B$32/Inputs!$B$18/Inputs!$B$19/Inputs!$B$20))-2*Inputs!$B$23))</f>
        <v>126.770348796282</v>
      </c>
      <c r="C48" s="19" t="s">
        <v>56</v>
      </c>
      <c r="E48" s="15" t="s">
        <v>195</v>
      </c>
    </row>
    <row r="49" customFormat="false" ht="15" hidden="false" customHeight="false" outlineLevel="0" collapsed="false">
      <c r="A49" s="17" t="s">
        <v>196</v>
      </c>
      <c r="B49" s="57" t="n">
        <f aca="false">$B$48/1.852</f>
        <v>68.4505123090075</v>
      </c>
      <c r="C49" s="19" t="s">
        <v>72</v>
      </c>
    </row>
    <row r="50" customFormat="false" ht="15" hidden="false" customHeight="false" outlineLevel="0" collapsed="false">
      <c r="A50" s="17" t="s">
        <v>197</v>
      </c>
      <c r="B50" s="58" t="n">
        <f aca="false">$C$14*Inputs!$B$32/Inputs!$B$19/Inputs!$B$20/$D$12</f>
        <v>108236.542143912</v>
      </c>
      <c r="C50" s="19" t="s">
        <v>44</v>
      </c>
      <c r="E50" s="15" t="s">
        <v>198</v>
      </c>
    </row>
    <row r="51" customFormat="false" ht="22.35" hidden="false" customHeight="false" outlineLevel="0" collapsed="false">
      <c r="A51" s="17" t="s">
        <v>199</v>
      </c>
      <c r="B51" s="59" t="n">
        <f aca="false">IF($C$32=0,"n/a",($D$42*$C$33-$C$40)/$C$32)</f>
        <v>0.841604716867363</v>
      </c>
      <c r="C51" s="19" t="s">
        <v>105</v>
      </c>
      <c r="E51" s="15" t="s">
        <v>200</v>
      </c>
    </row>
  </sheetData>
  <mergeCells count="6">
    <mergeCell ref="A1:E1"/>
    <mergeCell ref="A2:E2"/>
    <mergeCell ref="A5:E5"/>
    <mergeCell ref="A18:E18"/>
    <mergeCell ref="A36:E36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7C9E"/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5"/>
    <col collapsed="false" customWidth="true" hidden="true" outlineLevel="0" max="6" min="6" style="1" width="40"/>
    <col collapsed="false" customWidth="true" hidden="true" outlineLevel="0" max="8" min="7" style="1" width="13"/>
  </cols>
  <sheetData>
    <row r="1" customFormat="false" ht="25.5" hidden="false" customHeight="true" outlineLevel="0" collapsed="false">
      <c r="A1" s="2" t="s">
        <v>201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202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6" t="s">
        <v>203</v>
      </c>
      <c r="B4" s="16" t="s">
        <v>204</v>
      </c>
      <c r="C4" s="16" t="s">
        <v>205</v>
      </c>
      <c r="D4" s="16" t="s">
        <v>206</v>
      </c>
      <c r="E4" s="16" t="s">
        <v>207</v>
      </c>
      <c r="F4" s="16"/>
    </row>
    <row r="5" customFormat="false" ht="15" hidden="false" customHeight="false" outlineLevel="0" collapsed="false">
      <c r="A5" s="58" t="n">
        <v>1000</v>
      </c>
      <c r="B5" s="44" t="n">
        <f aca="false">('Voyage Model'!$C$8*(1-H5)*(365/F5*Inputs!$B$30))/1000000</f>
        <v>684.166423734576</v>
      </c>
      <c r="C5" s="45" t="n">
        <f aca="false">('Voyage Model'!$D$8*(365/G5*Inputs!$B$30)/Inputs!$B$32)/1000000</f>
        <v>144.802845964828</v>
      </c>
      <c r="D5" s="46" t="n">
        <f aca="false">CEILING(Inputs!$B$31*1000000/('Voyage Model'!$C$8*(1-H5)*(365/F5*Inputs!$B$30)),1)</f>
        <v>1</v>
      </c>
      <c r="E5" s="47" t="n">
        <f aca="false">CEILING(Inputs!$B$31*1000000*Inputs!$B$32/('Voyage Model'!$D$8*(365/G5*Inputs!$B$30)/Inputs!$B$32),1)</f>
        <v>4</v>
      </c>
      <c r="F5" s="60" t="n">
        <f aca="false">2*(A5/Inputs!$B$12/24)+2*Inputs!$B$13</f>
        <v>5.31531531531532</v>
      </c>
      <c r="G5" s="60" t="n">
        <f aca="false">2*(A5/Inputs!$B$22/24)+2*Inputs!$B$23</f>
        <v>6.46126156061361</v>
      </c>
      <c r="H5" s="61" t="n">
        <f aca="false">1-(1-Inputs!$B$14)^(A5/Inputs!$B$12/24)</f>
        <v>0.0028141671768922</v>
      </c>
    </row>
    <row r="6" customFormat="false" ht="15" hidden="false" customHeight="false" outlineLevel="0" collapsed="false">
      <c r="A6" s="58" t="n">
        <v>2000</v>
      </c>
      <c r="B6" s="44" t="n">
        <f aca="false">('Voyage Model'!$C$8*(1-H6)*(365/F6*Inputs!$B$30))/1000000</f>
        <v>446.008009279123</v>
      </c>
      <c r="C6" s="45" t="n">
        <f aca="false">('Voyage Model'!$D$8*(365/G6*Inputs!$B$30)/Inputs!$B$32)/1000000</f>
        <v>94.2914469504691</v>
      </c>
      <c r="D6" s="46" t="n">
        <f aca="false">CEILING(Inputs!$B$31*1000000/('Voyage Model'!$C$8*(1-H6)*(365/F6*Inputs!$B$30)),1)</f>
        <v>1</v>
      </c>
      <c r="E6" s="47" t="n">
        <f aca="false">CEILING(Inputs!$B$31*1000000*Inputs!$B$32/('Voyage Model'!$D$8*(365/G6*Inputs!$B$30)/Inputs!$B$32),1)</f>
        <v>6</v>
      </c>
      <c r="F6" s="60" t="n">
        <f aca="false">2*(A6/Inputs!$B$12/24)+2*Inputs!$B$13</f>
        <v>8.13063063063063</v>
      </c>
      <c r="G6" s="60" t="n">
        <f aca="false">2*(A6/Inputs!$B$22/24)+2*Inputs!$B$23</f>
        <v>9.92252312122723</v>
      </c>
      <c r="H6" s="61" t="n">
        <f aca="false">1-(1-Inputs!$B$14)^(A6/Inputs!$B$12/24)</f>
        <v>0.00562041481688491</v>
      </c>
    </row>
    <row r="7" customFormat="false" ht="15" hidden="false" customHeight="false" outlineLevel="0" collapsed="false">
      <c r="A7" s="58" t="n">
        <v>3000</v>
      </c>
      <c r="B7" s="44" t="n">
        <f aca="false">('Voyage Model'!$C$8*(1-H7)*(365/F7*Inputs!$B$30))/1000000</f>
        <v>330.36169837971</v>
      </c>
      <c r="C7" s="45" t="n">
        <f aca="false">('Voyage Model'!$D$8*(365/G7*Inputs!$B$30)/Inputs!$B$32)/1000000</f>
        <v>69.9061651648833</v>
      </c>
      <c r="D7" s="46" t="n">
        <f aca="false">CEILING(Inputs!$B$31*1000000/('Voyage Model'!$C$8*(1-H7)*(365/F7*Inputs!$B$30)),1)</f>
        <v>1</v>
      </c>
      <c r="E7" s="47" t="n">
        <f aca="false">CEILING(Inputs!$B$31*1000000*Inputs!$B$32/('Voyage Model'!$D$8*(365/G7*Inputs!$B$30)/Inputs!$B$32),1)</f>
        <v>9</v>
      </c>
      <c r="F7" s="60" t="n">
        <f aca="false">2*(A7/Inputs!$B$12/24)+2*Inputs!$B$13</f>
        <v>10.9459459459459</v>
      </c>
      <c r="G7" s="60" t="n">
        <f aca="false">2*(A7/Inputs!$B$22/24)+2*Inputs!$B$23</f>
        <v>13.3837846818408</v>
      </c>
      <c r="H7" s="61" t="n">
        <f aca="false">1-(1-Inputs!$B$14)^(A7/Inputs!$B$12/24)</f>
        <v>0.0084187652068789</v>
      </c>
    </row>
    <row r="8" customFormat="false" ht="15" hidden="false" customHeight="false" outlineLevel="0" collapsed="false">
      <c r="A8" s="58" t="n">
        <v>4000</v>
      </c>
      <c r="B8" s="44" t="n">
        <f aca="false">('Voyage Model'!$C$8*(1-H8)*(365/F8*Inputs!$B$30))/1000000</f>
        <v>262.035932227776</v>
      </c>
      <c r="C8" s="45" t="n">
        <f aca="false">('Voyage Model'!$D$8*(365/G8*Inputs!$B$30)/Inputs!$B$32)/1000000</f>
        <v>55.5420892904403</v>
      </c>
      <c r="D8" s="46" t="n">
        <f aca="false">CEILING(Inputs!$B$31*1000000/('Voyage Model'!$C$8*(1-H8)*(365/F8*Inputs!$B$30)),1)</f>
        <v>1</v>
      </c>
      <c r="E8" s="47" t="n">
        <f aca="false">CEILING(Inputs!$B$31*1000000*Inputs!$B$32/('Voyage Model'!$D$8*(365/G8*Inputs!$B$30)/Inputs!$B$32),1)</f>
        <v>11</v>
      </c>
      <c r="F8" s="60" t="n">
        <f aca="false">2*(A8/Inputs!$B$12/24)+2*Inputs!$B$13</f>
        <v>13.7612612612613</v>
      </c>
      <c r="G8" s="60" t="n">
        <f aca="false">2*(A8/Inputs!$B$22/24)+2*Inputs!$B$23</f>
        <v>16.8450462424545</v>
      </c>
      <c r="H8" s="61" t="n">
        <f aca="false">1-(1-Inputs!$B$14)^(A8/Inputs!$B$12/24)</f>
        <v>0.011209240571056</v>
      </c>
    </row>
    <row r="9" customFormat="false" ht="15" hidden="false" customHeight="false" outlineLevel="0" collapsed="false">
      <c r="A9" s="58" t="n">
        <v>5000</v>
      </c>
      <c r="B9" s="44" t="n">
        <f aca="false">('Voyage Model'!$C$8*(1-H9)*(365/F9*Inputs!$B$30))/1000000</f>
        <v>216.920374045204</v>
      </c>
      <c r="C9" s="45" t="n">
        <f aca="false">('Voyage Model'!$D$8*(365/G9*Inputs!$B$30)/Inputs!$B$32)/1000000</f>
        <v>46.0747995929935</v>
      </c>
      <c r="D9" s="46" t="n">
        <f aca="false">CEILING(Inputs!$B$31*1000000/('Voyage Model'!$C$8*(1-H9)*(365/F9*Inputs!$B$30)),1)</f>
        <v>1</v>
      </c>
      <c r="E9" s="47" t="n">
        <f aca="false">CEILING(Inputs!$B$31*1000000*Inputs!$B$32/('Voyage Model'!$D$8*(365/G9*Inputs!$B$30)/Inputs!$B$32),1)</f>
        <v>13</v>
      </c>
      <c r="F9" s="60" t="n">
        <f aca="false">2*(A9/Inputs!$B$12/24)+2*Inputs!$B$13</f>
        <v>16.5765765765766</v>
      </c>
      <c r="G9" s="60" t="n">
        <f aca="false">2*(A9/Inputs!$B$22/24)+2*Inputs!$B$23</f>
        <v>20.3063078030681</v>
      </c>
      <c r="H9" s="61" t="n">
        <f aca="false">1-(1-Inputs!$B$14)^(A9/Inputs!$B$12/24)</f>
        <v>0.0139918630710553</v>
      </c>
    </row>
    <row r="10" customFormat="false" ht="15" hidden="false" customHeight="false" outlineLevel="0" collapsed="false">
      <c r="A10" s="58" t="n">
        <v>6000</v>
      </c>
      <c r="B10" s="44" t="n">
        <f aca="false">('Voyage Model'!$C$8*(1-H10)*(365/F10*Inputs!$B$30))/1000000</f>
        <v>184.906044079611</v>
      </c>
      <c r="C10" s="45" t="n">
        <f aca="false">('Voyage Model'!$D$8*(365/G10*Inputs!$B$30)/Inputs!$B$32)/1000000</f>
        <v>39.3649450721566</v>
      </c>
      <c r="D10" s="46" t="n">
        <f aca="false">CEILING(Inputs!$B$31*1000000/('Voyage Model'!$C$8*(1-H10)*(365/F10*Inputs!$B$30)),1)</f>
        <v>1</v>
      </c>
      <c r="E10" s="47" t="n">
        <f aca="false">CEILING(Inputs!$B$31*1000000*Inputs!$B$32/('Voyage Model'!$D$8*(365/G10*Inputs!$B$30)/Inputs!$B$32),1)</f>
        <v>15</v>
      </c>
      <c r="F10" s="60" t="n">
        <f aca="false">2*(A10/Inputs!$B$12/24)+2*Inputs!$B$13</f>
        <v>19.3918918918919</v>
      </c>
      <c r="G10" s="60" t="n">
        <f aca="false">2*(A10/Inputs!$B$22/24)+2*Inputs!$B$23</f>
        <v>23.7675693636817</v>
      </c>
      <c r="H10" s="61" t="n">
        <f aca="false">1-(1-Inputs!$B$14)^(A10/Inputs!$B$12/24)</f>
        <v>0.0167666548061494</v>
      </c>
    </row>
    <row r="11" customFormat="false" ht="15" hidden="false" customHeight="false" outlineLevel="0" collapsed="false">
      <c r="A11" s="58" t="n">
        <v>7000</v>
      </c>
      <c r="B11" s="44" t="n">
        <f aca="false">('Voyage Model'!$C$8*(1-H11)*(365/F11*Inputs!$B$30))/1000000</f>
        <v>161.010220069752</v>
      </c>
      <c r="C11" s="45" t="n">
        <f aca="false">('Voyage Model'!$D$8*(365/G11*Inputs!$B$30)/Inputs!$B$32)/1000000</f>
        <v>34.3609707336054</v>
      </c>
      <c r="D11" s="46" t="n">
        <f aca="false">CEILING(Inputs!$B$31*1000000/('Voyage Model'!$C$8*(1-H11)*(365/F11*Inputs!$B$30)),1)</f>
        <v>1</v>
      </c>
      <c r="E11" s="47" t="n">
        <f aca="false">CEILING(Inputs!$B$31*1000000*Inputs!$B$32/('Voyage Model'!$D$8*(365/G11*Inputs!$B$30)/Inputs!$B$32),1)</f>
        <v>17</v>
      </c>
      <c r="F11" s="60" t="n">
        <f aca="false">2*(A11/Inputs!$B$12/24)+2*Inputs!$B$13</f>
        <v>22.2072072072072</v>
      </c>
      <c r="G11" s="60" t="n">
        <f aca="false">2*(A11/Inputs!$B$22/24)+2*Inputs!$B$23</f>
        <v>27.2288309242953</v>
      </c>
      <c r="H11" s="61" t="n">
        <f aca="false">1-(1-Inputs!$B$14)^(A11/Inputs!$B$12/24)</f>
        <v>0.0195336378134198</v>
      </c>
    </row>
    <row r="12" customFormat="false" ht="15" hidden="false" customHeight="false" outlineLevel="0" collapsed="false">
      <c r="A12" s="58" t="n">
        <v>8000</v>
      </c>
      <c r="B12" s="44" t="n">
        <f aca="false">('Voyage Model'!$C$8*(1-H12)*(365/F12*Inputs!$B$30))/1000000</f>
        <v>142.492629025906</v>
      </c>
      <c r="C12" s="45" t="n">
        <f aca="false">('Voyage Model'!$D$8*(365/G12*Inputs!$B$30)/Inputs!$B$32)/1000000</f>
        <v>30.4857035852878</v>
      </c>
      <c r="D12" s="46" t="n">
        <f aca="false">CEILING(Inputs!$B$31*1000000/('Voyage Model'!$C$8*(1-H12)*(365/F12*Inputs!$B$30)),1)</f>
        <v>1</v>
      </c>
      <c r="E12" s="47" t="n">
        <f aca="false">CEILING(Inputs!$B$31*1000000*Inputs!$B$32/('Voyage Model'!$D$8*(365/G12*Inputs!$B$30)/Inputs!$B$32),1)</f>
        <v>19</v>
      </c>
      <c r="F12" s="60" t="n">
        <f aca="false">2*(A12/Inputs!$B$12/24)+2*Inputs!$B$13</f>
        <v>25.0225225225225</v>
      </c>
      <c r="G12" s="60" t="n">
        <f aca="false">2*(A12/Inputs!$B$22/24)+2*Inputs!$B$23</f>
        <v>30.6900924849089</v>
      </c>
      <c r="H12" s="61" t="n">
        <f aca="false">1-(1-Inputs!$B$14)^(A12/Inputs!$B$12/24)</f>
        <v>0.0222928340679321</v>
      </c>
    </row>
    <row r="13" customFormat="false" ht="15" hidden="false" customHeight="false" outlineLevel="0" collapsed="false">
      <c r="A13" s="58" t="n">
        <v>9000</v>
      </c>
      <c r="B13" s="44" t="n">
        <f aca="false">('Voyage Model'!$C$8*(1-H13)*(365/F13*Inputs!$B$30))/1000000</f>
        <v>127.721522638671</v>
      </c>
      <c r="C13" s="45" t="n">
        <f aca="false">('Voyage Model'!$D$8*(365/G13*Inputs!$B$30)/Inputs!$B$32)/1000000</f>
        <v>27.3959580417476</v>
      </c>
      <c r="D13" s="46" t="n">
        <f aca="false">CEILING(Inputs!$B$31*1000000/('Voyage Model'!$C$8*(1-H13)*(365/F13*Inputs!$B$30)),1)</f>
        <v>1</v>
      </c>
      <c r="E13" s="47" t="n">
        <f aca="false">CEILING(Inputs!$B$31*1000000*Inputs!$B$32/('Voyage Model'!$D$8*(365/G13*Inputs!$B$30)/Inputs!$B$32),1)</f>
        <v>21</v>
      </c>
      <c r="F13" s="60" t="n">
        <f aca="false">2*(A13/Inputs!$B$12/24)+2*Inputs!$B$13</f>
        <v>27.8378378378378</v>
      </c>
      <c r="G13" s="60" t="n">
        <f aca="false">2*(A13/Inputs!$B$22/24)+2*Inputs!$B$23</f>
        <v>34.1513540455225</v>
      </c>
      <c r="H13" s="61" t="n">
        <f aca="false">1-(1-Inputs!$B$14)^(A13/Inputs!$B$12/24)</f>
        <v>0.0250442654829105</v>
      </c>
    </row>
    <row r="14" customFormat="false" ht="15" hidden="false" customHeight="false" outlineLevel="0" collapsed="false">
      <c r="A14" s="58" t="n">
        <v>10000</v>
      </c>
      <c r="B14" s="44" t="n">
        <f aca="false">('Voyage Model'!$C$8*(1-H14)*(365/F14*Inputs!$B$30))/1000000</f>
        <v>115.664619288348</v>
      </c>
      <c r="C14" s="45" t="n">
        <f aca="false">('Voyage Model'!$D$8*(365/G14*Inputs!$B$30)/Inputs!$B$32)/1000000</f>
        <v>24.874873693904</v>
      </c>
      <c r="D14" s="46" t="n">
        <f aca="false">CEILING(Inputs!$B$31*1000000/('Voyage Model'!$C$8*(1-H14)*(365/F14*Inputs!$B$30)),1)</f>
        <v>1</v>
      </c>
      <c r="E14" s="47" t="n">
        <f aca="false">CEILING(Inputs!$B$31*1000000*Inputs!$B$32/('Voyage Model'!$D$8*(365/G14*Inputs!$B$30)/Inputs!$B$32),1)</f>
        <v>23</v>
      </c>
      <c r="F14" s="60" t="n">
        <f aca="false">2*(A14/Inputs!$B$12/24)+2*Inputs!$B$13</f>
        <v>30.6531531531532</v>
      </c>
      <c r="G14" s="60" t="n">
        <f aca="false">2*(A14/Inputs!$B$22/24)+2*Inputs!$B$23</f>
        <v>37.6126156061361</v>
      </c>
      <c r="H14" s="61" t="n">
        <f aca="false">1-(1-Inputs!$B$14)^(A14/Inputs!$B$12/24)</f>
        <v>0.0277879539099113</v>
      </c>
    </row>
    <row r="15" customFormat="false" ht="15" hidden="false" customHeight="false" outlineLevel="0" collapsed="false">
      <c r="A15" s="58" t="n">
        <v>11000</v>
      </c>
      <c r="B15" s="44" t="n">
        <f aca="false">('Voyage Model'!$C$8*(1-H15)*(365/F15*Inputs!$B$30))/1000000</f>
        <v>105.636973034785</v>
      </c>
      <c r="C15" s="45" t="n">
        <f aca="false">('Voyage Model'!$D$8*(365/G15*Inputs!$B$30)/Inputs!$B$32)/1000000</f>
        <v>22.7786887198805</v>
      </c>
      <c r="D15" s="46" t="n">
        <f aca="false">CEILING(Inputs!$B$31*1000000/('Voyage Model'!$C$8*(1-H15)*(365/F15*Inputs!$B$30)),1)</f>
        <v>1</v>
      </c>
      <c r="E15" s="47" t="n">
        <f aca="false">CEILING(Inputs!$B$31*1000000*Inputs!$B$32/('Voyage Model'!$D$8*(365/G15*Inputs!$B$30)/Inputs!$B$32),1)</f>
        <v>25</v>
      </c>
      <c r="F15" s="60" t="n">
        <f aca="false">2*(A15/Inputs!$B$12/24)+2*Inputs!$B$13</f>
        <v>33.4684684684685</v>
      </c>
      <c r="G15" s="60" t="n">
        <f aca="false">2*(A15/Inputs!$B$22/24)+2*Inputs!$B$23</f>
        <v>41.0738771667497</v>
      </c>
      <c r="H15" s="61" t="n">
        <f aca="false">1-(1-Inputs!$B$14)^(A15/Inputs!$B$12/24)</f>
        <v>0.0305239211389973</v>
      </c>
    </row>
    <row r="16" customFormat="false" ht="15" hidden="false" customHeight="false" outlineLevel="0" collapsed="false">
      <c r="A16" s="58" t="n">
        <v>12000</v>
      </c>
      <c r="B16" s="44" t="n">
        <f aca="false">('Voyage Model'!$C$8*(1-H16)*(365/F16*Inputs!$B$30))/1000000</f>
        <v>97.166222034668</v>
      </c>
      <c r="C16" s="45" t="n">
        <f aca="false">('Voyage Model'!$D$8*(365/G16*Inputs!$B$30)/Inputs!$B$32)/1000000</f>
        <v>21.0083338513357</v>
      </c>
      <c r="D16" s="46" t="n">
        <f aca="false">CEILING(Inputs!$B$31*1000000/('Voyage Model'!$C$8*(1-H16)*(365/F16*Inputs!$B$30)),1)</f>
        <v>2</v>
      </c>
      <c r="E16" s="47" t="n">
        <f aca="false">CEILING(Inputs!$B$31*1000000*Inputs!$B$32/('Voyage Model'!$D$8*(365/G16*Inputs!$B$30)/Inputs!$B$32),1)</f>
        <v>27</v>
      </c>
      <c r="F16" s="60" t="n">
        <f aca="false">2*(A16/Inputs!$B$12/24)+2*Inputs!$B$13</f>
        <v>36.2837837837838</v>
      </c>
      <c r="G16" s="60" t="n">
        <f aca="false">2*(A16/Inputs!$B$22/24)+2*Inputs!$B$23</f>
        <v>44.5351387273633</v>
      </c>
      <c r="H16" s="61" t="n">
        <f aca="false">1-(1-Inputs!$B$14)^(A16/Inputs!$B$12/24)</f>
        <v>0.03325218889891</v>
      </c>
    </row>
    <row r="17" customFormat="false" ht="15" hidden="false" customHeight="false" outlineLevel="0" collapsed="false">
      <c r="A17" s="58" t="n">
        <v>13000</v>
      </c>
      <c r="B17" s="44" t="n">
        <f aca="false">('Voyage Model'!$C$8*(1-H17)*(365/F17*Inputs!$B$30))/1000000</f>
        <v>89.9160533683904</v>
      </c>
      <c r="C17" s="45" t="n">
        <f aca="false">('Voyage Model'!$D$8*(365/G17*Inputs!$B$30)/Inputs!$B$32)/1000000</f>
        <v>19.4933173506007</v>
      </c>
      <c r="D17" s="46" t="n">
        <f aca="false">CEILING(Inputs!$B$31*1000000/('Voyage Model'!$C$8*(1-H17)*(365/F17*Inputs!$B$30)),1)</f>
        <v>2</v>
      </c>
      <c r="E17" s="47" t="n">
        <f aca="false">CEILING(Inputs!$B$31*1000000*Inputs!$B$32/('Voyage Model'!$D$8*(365/G17*Inputs!$B$30)/Inputs!$B$32),1)</f>
        <v>29</v>
      </c>
      <c r="F17" s="60" t="n">
        <f aca="false">2*(A17/Inputs!$B$12/24)+2*Inputs!$B$13</f>
        <v>39.0990990990991</v>
      </c>
      <c r="G17" s="60" t="n">
        <f aca="false">2*(A17/Inputs!$B$22/24)+2*Inputs!$B$23</f>
        <v>47.996400287977</v>
      </c>
      <c r="H17" s="61" t="n">
        <f aca="false">1-(1-Inputs!$B$14)^(A17/Inputs!$B$12/24)</f>
        <v>0.0359727788572432</v>
      </c>
    </row>
    <row r="18" customFormat="false" ht="15" hidden="false" customHeight="false" outlineLevel="0" collapsed="false">
      <c r="A18" s="58" t="n">
        <v>14000</v>
      </c>
      <c r="B18" s="44" t="n">
        <f aca="false">('Voyage Model'!$C$8*(1-H18)*(365/F18*Inputs!$B$30))/1000000</f>
        <v>83.6405122408366</v>
      </c>
      <c r="C18" s="45" t="n">
        <f aca="false">('Voyage Model'!$D$8*(365/G18*Inputs!$B$30)/Inputs!$B$32)/1000000</f>
        <v>18.1821137783707</v>
      </c>
      <c r="D18" s="46" t="n">
        <f aca="false">CEILING(Inputs!$B$31*1000000/('Voyage Model'!$C$8*(1-H18)*(365/F18*Inputs!$B$30)),1)</f>
        <v>2</v>
      </c>
      <c r="E18" s="47" t="n">
        <f aca="false">CEILING(Inputs!$B$31*1000000*Inputs!$B$32/('Voyage Model'!$D$8*(365/G18*Inputs!$B$30)/Inputs!$B$32),1)</f>
        <v>31</v>
      </c>
      <c r="F18" s="60" t="n">
        <f aca="false">2*(A18/Inputs!$B$12/24)+2*Inputs!$B$13</f>
        <v>41.9144144144144</v>
      </c>
      <c r="G18" s="60" t="n">
        <f aca="false">2*(A18/Inputs!$B$22/24)+2*Inputs!$B$23</f>
        <v>51.4576618485906</v>
      </c>
      <c r="H18" s="61" t="n">
        <f aca="false">1-(1-Inputs!$B$14)^(A18/Inputs!$B$12/24)</f>
        <v>0.0386857126206137</v>
      </c>
    </row>
    <row r="19" customFormat="false" ht="15" hidden="false" customHeight="false" outlineLevel="0" collapsed="false">
      <c r="A19" s="58" t="n">
        <v>15000</v>
      </c>
      <c r="B19" s="44" t="n">
        <f aca="false">('Voyage Model'!$C$8*(1-H19)*(365/F19*Inputs!$B$30))/1000000</f>
        <v>78.1555660157042</v>
      </c>
      <c r="C19" s="45" t="n">
        <f aca="false">('Voyage Model'!$D$8*(365/G19*Inputs!$B$30)/Inputs!$B$32)/1000000</f>
        <v>17.0361872451272</v>
      </c>
      <c r="D19" s="46" t="n">
        <f aca="false">CEILING(Inputs!$B$31*1000000/('Voyage Model'!$C$8*(1-H19)*(365/F19*Inputs!$B$30)),1)</f>
        <v>2</v>
      </c>
      <c r="E19" s="47" t="n">
        <f aca="false">CEILING(Inputs!$B$31*1000000*Inputs!$B$32/('Voyage Model'!$D$8*(365/G19*Inputs!$B$30)/Inputs!$B$32),1)</f>
        <v>34</v>
      </c>
      <c r="F19" s="60" t="n">
        <f aca="false">2*(A19/Inputs!$B$12/24)+2*Inputs!$B$13</f>
        <v>44.7297297297297</v>
      </c>
      <c r="G19" s="60" t="n">
        <f aca="false">2*(A19/Inputs!$B$22/24)+2*Inputs!$B$23</f>
        <v>54.9189234092042</v>
      </c>
      <c r="H19" s="61" t="n">
        <f aca="false">1-(1-Inputs!$B$14)^(A19/Inputs!$B$12/24)</f>
        <v>0.0413910117348343</v>
      </c>
    </row>
    <row r="20" customFormat="false" ht="15" hidden="false" customHeight="false" outlineLevel="0" collapsed="false">
      <c r="A20" s="58" t="n">
        <v>16000</v>
      </c>
      <c r="B20" s="44" t="n">
        <f aca="false">('Voyage Model'!$C$8*(1-H20)*(365/F20*Inputs!$B$30))/1000000</f>
        <v>73.3207710325167</v>
      </c>
      <c r="C20" s="45" t="n">
        <f aca="false">('Voyage Model'!$D$8*(365/G20*Inputs!$B$30)/Inputs!$B$32)/1000000</f>
        <v>16.0261407699154</v>
      </c>
      <c r="D20" s="46" t="n">
        <f aca="false">CEILING(Inputs!$B$31*1000000/('Voyage Model'!$C$8*(1-H20)*(365/F20*Inputs!$B$30)),1)</f>
        <v>2</v>
      </c>
      <c r="E20" s="47" t="n">
        <f aca="false">CEILING(Inputs!$B$31*1000000*Inputs!$B$32/('Voyage Model'!$D$8*(365/G20*Inputs!$B$30)/Inputs!$B$32),1)</f>
        <v>36</v>
      </c>
      <c r="F20" s="60" t="n">
        <f aca="false">2*(A20/Inputs!$B$12/24)+2*Inputs!$B$13</f>
        <v>47.545045045045</v>
      </c>
      <c r="G20" s="60" t="n">
        <f aca="false">2*(A20/Inputs!$B$22/24)+2*Inputs!$B$23</f>
        <v>58.3801849698178</v>
      </c>
      <c r="H20" s="61" t="n">
        <f aca="false">1-(1-Inputs!$B$14)^(A20/Inputs!$B$12/24)</f>
        <v>0.0440886976850839</v>
      </c>
    </row>
    <row r="21" customFormat="false" ht="15" hidden="false" customHeight="false" outlineLevel="0" collapsed="false">
      <c r="A21" s="58" t="n">
        <v>17000</v>
      </c>
      <c r="B21" s="44" t="n">
        <f aca="false">('Voyage Model'!$C$8*(1-H21)*(365/F21*Inputs!$B$30))/1000000</f>
        <v>69.0270887470897</v>
      </c>
      <c r="C21" s="45" t="n">
        <f aca="false">('Voyage Model'!$D$8*(365/G21*Inputs!$B$30)/Inputs!$B$32)/1000000</f>
        <v>15.1291587598877</v>
      </c>
      <c r="D21" s="46" t="n">
        <f aca="false">CEILING(Inputs!$B$31*1000000/('Voyage Model'!$C$8*(1-H21)*(365/F21*Inputs!$B$30)),1)</f>
        <v>2</v>
      </c>
      <c r="E21" s="47" t="n">
        <f aca="false">CEILING(Inputs!$B$31*1000000*Inputs!$B$32/('Voyage Model'!$D$8*(365/G21*Inputs!$B$30)/Inputs!$B$32),1)</f>
        <v>38</v>
      </c>
      <c r="F21" s="60" t="n">
        <f aca="false">2*(A21/Inputs!$B$12/24)+2*Inputs!$B$13</f>
        <v>50.3603603603604</v>
      </c>
      <c r="G21" s="60" t="n">
        <f aca="false">2*(A21/Inputs!$B$22/24)+2*Inputs!$B$23</f>
        <v>61.8414465304314</v>
      </c>
      <c r="H21" s="61" t="n">
        <f aca="false">1-(1-Inputs!$B$14)^(A21/Inputs!$B$12/24)</f>
        <v>0.0467787918960789</v>
      </c>
    </row>
    <row r="22" customFormat="false" ht="15" hidden="false" customHeight="false" outlineLevel="0" collapsed="false">
      <c r="A22" s="58" t="n">
        <v>18000</v>
      </c>
      <c r="B22" s="44" t="n">
        <f aca="false">('Voyage Model'!$C$8*(1-H22)*(365/F22*Inputs!$B$30))/1000000</f>
        <v>65.1885722212762</v>
      </c>
      <c r="C22" s="45" t="n">
        <f aca="false">('Voyage Model'!$D$8*(365/G22*Inputs!$B$30)/Inputs!$B$32)/1000000</f>
        <v>14.3272628325854</v>
      </c>
      <c r="D22" s="46" t="n">
        <f aca="false">CEILING(Inputs!$B$31*1000000/('Voyage Model'!$C$8*(1-H22)*(365/F22*Inputs!$B$30)),1)</f>
        <v>2</v>
      </c>
      <c r="E22" s="47" t="n">
        <f aca="false">CEILING(Inputs!$B$31*1000000*Inputs!$B$32/('Voyage Model'!$D$8*(365/G22*Inputs!$B$30)/Inputs!$B$32),1)</f>
        <v>40</v>
      </c>
      <c r="F22" s="60" t="n">
        <f aca="false">2*(A22/Inputs!$B$12/24)+2*Inputs!$B$13</f>
        <v>53.1756756756757</v>
      </c>
      <c r="G22" s="60" t="n">
        <f aca="false">2*(A22/Inputs!$B$22/24)+2*Inputs!$B$23</f>
        <v>65.302708091045</v>
      </c>
      <c r="H22" s="61" t="n">
        <f aca="false">1-(1-Inputs!$B$14)^(A22/Inputs!$B$12/24)</f>
        <v>0.0494613157322424</v>
      </c>
    </row>
    <row r="23" customFormat="false" ht="15" hidden="false" customHeight="false" outlineLevel="0" collapsed="false">
      <c r="A23" s="58" t="n">
        <v>19000</v>
      </c>
      <c r="B23" s="44" t="n">
        <f aca="false">('Voyage Model'!$C$8*(1-H23)*(365/F23*Inputs!$B$30))/1000000</f>
        <v>61.7365607111402</v>
      </c>
      <c r="C23" s="45" t="n">
        <f aca="false">('Voyage Model'!$D$8*(365/G23*Inputs!$B$30)/Inputs!$B$32)/1000000</f>
        <v>13.6060944014659</v>
      </c>
      <c r="D23" s="46" t="n">
        <f aca="false">CEILING(Inputs!$B$31*1000000/('Voyage Model'!$C$8*(1-H23)*(365/F23*Inputs!$B$30)),1)</f>
        <v>2</v>
      </c>
      <c r="E23" s="47" t="n">
        <f aca="false">CEILING(Inputs!$B$31*1000000*Inputs!$B$32/('Voyage Model'!$D$8*(365/G23*Inputs!$B$30)/Inputs!$B$32),1)</f>
        <v>42</v>
      </c>
      <c r="F23" s="60" t="n">
        <f aca="false">2*(A23/Inputs!$B$12/24)+2*Inputs!$B$13</f>
        <v>55.990990990991</v>
      </c>
      <c r="G23" s="60" t="n">
        <f aca="false">2*(A23/Inputs!$B$22/24)+2*Inputs!$B$23</f>
        <v>68.7639696516586</v>
      </c>
      <c r="H23" s="61" t="n">
        <f aca="false">1-(1-Inputs!$B$14)^(A23/Inputs!$B$12/24)</f>
        <v>0.0521362904978752</v>
      </c>
    </row>
    <row r="24" customFormat="false" ht="15" hidden="false" customHeight="false" outlineLevel="0" collapsed="false">
      <c r="A24" s="58" t="n">
        <v>20000</v>
      </c>
      <c r="B24" s="44" t="n">
        <f aca="false">('Voyage Model'!$C$8*(1-H24)*(365/F24*Inputs!$B$30))/1000000</f>
        <v>58.6155418379986</v>
      </c>
      <c r="C24" s="45" t="n">
        <f aca="false">('Voyage Model'!$D$8*(365/G24*Inputs!$B$30)/Inputs!$B$32)/1000000</f>
        <v>12.9540473155457</v>
      </c>
      <c r="D24" s="46" t="n">
        <f aca="false">CEILING(Inputs!$B$31*1000000/('Voyage Model'!$C$8*(1-H24)*(365/F24*Inputs!$B$30)),1)</f>
        <v>2</v>
      </c>
      <c r="E24" s="47" t="n">
        <f aca="false">CEILING(Inputs!$B$31*1000000*Inputs!$B$32/('Voyage Model'!$D$8*(365/G24*Inputs!$B$30)/Inputs!$B$32),1)</f>
        <v>44</v>
      </c>
      <c r="F24" s="60" t="n">
        <f aca="false">2*(A24/Inputs!$B$12/24)+2*Inputs!$B$13</f>
        <v>58.8063063063063</v>
      </c>
      <c r="G24" s="60" t="n">
        <f aca="false">2*(A24/Inputs!$B$22/24)+2*Inputs!$B$23</f>
        <v>72.2252312122723</v>
      </c>
      <c r="H24" s="61" t="n">
        <f aca="false">1-(1-Inputs!$B$14)^(A24/Inputs!$B$12/24)</f>
        <v>0.0548037374373233</v>
      </c>
    </row>
    <row r="25" customFormat="false" ht="15" hidden="false" customHeight="false" outlineLevel="0" collapsed="false">
      <c r="A25" s="58" t="n">
        <v>21000</v>
      </c>
      <c r="B25" s="44" t="n">
        <f aca="false">('Voyage Model'!$C$8*(1-H25)*(365/F25*Inputs!$B$30))/1000000</f>
        <v>55.7801480327527</v>
      </c>
      <c r="C25" s="45" t="n">
        <f aca="false">('Voyage Model'!$D$8*(365/G25*Inputs!$B$30)/Inputs!$B$32)/1000000</f>
        <v>12.361638493509</v>
      </c>
      <c r="D25" s="46" t="n">
        <f aca="false">CEILING(Inputs!$B$31*1000000/('Voyage Model'!$C$8*(1-H25)*(365/F25*Inputs!$B$30)),1)</f>
        <v>2</v>
      </c>
      <c r="E25" s="47" t="n">
        <f aca="false">CEILING(Inputs!$B$31*1000000*Inputs!$B$32/('Voyage Model'!$D$8*(365/G25*Inputs!$B$30)/Inputs!$B$32),1)</f>
        <v>46</v>
      </c>
      <c r="F25" s="60" t="n">
        <f aca="false">2*(A25/Inputs!$B$12/24)+2*Inputs!$B$13</f>
        <v>61.6216216216216</v>
      </c>
      <c r="G25" s="60" t="n">
        <f aca="false">2*(A25/Inputs!$B$22/24)+2*Inputs!$B$23</f>
        <v>75.6864927728859</v>
      </c>
      <c r="H25" s="61" t="n">
        <f aca="false">1-(1-Inputs!$B$14)^(A25/Inputs!$B$12/24)</f>
        <v>0.0574636777351484</v>
      </c>
    </row>
    <row r="26" customFormat="false" ht="15" hidden="false" customHeight="false" outlineLevel="0" collapsed="false">
      <c r="A26" s="58" t="n">
        <v>22000</v>
      </c>
      <c r="B26" s="44" t="n">
        <f aca="false">('Voyage Model'!$C$8*(1-H26)*(365/F26*Inputs!$B$30))/1000000</f>
        <v>53.1929403506314</v>
      </c>
      <c r="C26" s="45" t="n">
        <f aca="false">('Voyage Model'!$D$8*(365/G26*Inputs!$B$30)/Inputs!$B$32)/1000000</f>
        <v>11.8210436970541</v>
      </c>
      <c r="D26" s="46" t="n">
        <f aca="false">CEILING(Inputs!$B$31*1000000/('Voyage Model'!$C$8*(1-H26)*(365/F26*Inputs!$B$30)),1)</f>
        <v>2</v>
      </c>
      <c r="E26" s="47" t="n">
        <f aca="false">CEILING(Inputs!$B$31*1000000*Inputs!$B$32/('Voyage Model'!$D$8*(365/G26*Inputs!$B$30)/Inputs!$B$32),1)</f>
        <v>48</v>
      </c>
      <c r="F26" s="60" t="n">
        <f aca="false">2*(A26/Inputs!$B$12/24)+2*Inputs!$B$13</f>
        <v>64.436936936937</v>
      </c>
      <c r="G26" s="60" t="n">
        <f aca="false">2*(A26/Inputs!$B$22/24)+2*Inputs!$B$23</f>
        <v>79.1477543334995</v>
      </c>
      <c r="H26" s="61" t="n">
        <f aca="false">1-(1-Inputs!$B$14)^(A26/Inputs!$B$12/24)</f>
        <v>0.0601161325162948</v>
      </c>
    </row>
    <row r="27" customFormat="false" ht="15" hidden="false" customHeight="false" outlineLevel="0" collapsed="false">
      <c r="A27" s="58" t="n">
        <v>23000</v>
      </c>
      <c r="B27" s="44" t="n">
        <f aca="false">('Voyage Model'!$C$8*(1-H27)*(365/F27*Inputs!$B$30))/1000000</f>
        <v>50.822748929922</v>
      </c>
      <c r="C27" s="45" t="n">
        <f aca="false">('Voyage Model'!$D$8*(365/G27*Inputs!$B$30)/Inputs!$B$32)/1000000</f>
        <v>11.3257500089246</v>
      </c>
      <c r="D27" s="46" t="n">
        <f aca="false">CEILING(Inputs!$B$31*1000000/('Voyage Model'!$C$8*(1-H27)*(365/F27*Inputs!$B$30)),1)</f>
        <v>2</v>
      </c>
      <c r="E27" s="47" t="n">
        <f aca="false">CEILING(Inputs!$B$31*1000000*Inputs!$B$32/('Voyage Model'!$D$8*(365/G27*Inputs!$B$30)/Inputs!$B$32),1)</f>
        <v>50</v>
      </c>
      <c r="F27" s="60" t="n">
        <f aca="false">2*(A27/Inputs!$B$12/24)+2*Inputs!$B$13</f>
        <v>67.2522522522523</v>
      </c>
      <c r="G27" s="60" t="n">
        <f aca="false">2*(A27/Inputs!$B$22/24)+2*Inputs!$B$23</f>
        <v>82.6090158941131</v>
      </c>
      <c r="H27" s="61" t="n">
        <f aca="false">1-(1-Inputs!$B$14)^(A27/Inputs!$B$12/24)</f>
        <v>0.062761122846258</v>
      </c>
    </row>
    <row r="28" customFormat="false" ht="15" hidden="false" customHeight="false" outlineLevel="0" collapsed="false">
      <c r="A28" s="58" t="n">
        <v>24000</v>
      </c>
      <c r="B28" s="44" t="n">
        <f aca="false">('Voyage Model'!$C$8*(1-H28)*(365/F28*Inputs!$B$30))/1000000</f>
        <v>48.6434135329731</v>
      </c>
      <c r="C28" s="45" t="n">
        <f aca="false">('Voyage Model'!$D$8*(365/G28*Inputs!$B$30)/Inputs!$B$32)/1000000</f>
        <v>10.8702921631934</v>
      </c>
      <c r="D28" s="46" t="n">
        <f aca="false">CEILING(Inputs!$B$31*1000000/('Voyage Model'!$C$8*(1-H28)*(365/F28*Inputs!$B$30)),1)</f>
        <v>3</v>
      </c>
      <c r="E28" s="47" t="n">
        <f aca="false">CEILING(Inputs!$B$31*1000000*Inputs!$B$32/('Voyage Model'!$D$8*(365/G28*Inputs!$B$30)/Inputs!$B$32),1)</f>
        <v>52</v>
      </c>
      <c r="F28" s="60" t="n">
        <f aca="false">2*(A28/Inputs!$B$12/24)+2*Inputs!$B$13</f>
        <v>70.0675675675676</v>
      </c>
      <c r="G28" s="60" t="n">
        <f aca="false">2*(A28/Inputs!$B$22/24)+2*Inputs!$B$23</f>
        <v>86.0702774547267</v>
      </c>
      <c r="H28" s="61" t="n">
        <f aca="false">1-(1-Inputs!$B$14)^(A28/Inputs!$B$12/24)</f>
        <v>0.0653986697312513</v>
      </c>
    </row>
    <row r="29" customFormat="false" ht="15" hidden="false" customHeight="false" outlineLevel="0" collapsed="false">
      <c r="A29" s="58" t="n">
        <v>25000</v>
      </c>
      <c r="B29" s="44" t="n">
        <f aca="false">('Voyage Model'!$C$8*(1-H29)*(365/F29*Inputs!$B$30))/1000000</f>
        <v>46.6328159890053</v>
      </c>
      <c r="C29" s="45" t="n">
        <f aca="false">('Voyage Model'!$D$8*(365/G29*Inputs!$B$30)/Inputs!$B$32)/1000000</f>
        <v>10.4500500358839</v>
      </c>
      <c r="D29" s="46" t="n">
        <f aca="false">CEILING(Inputs!$B$31*1000000/('Voyage Model'!$C$8*(1-H29)*(365/F29*Inputs!$B$30)),1)</f>
        <v>3</v>
      </c>
      <c r="E29" s="47" t="n">
        <f aca="false">CEILING(Inputs!$B$31*1000000*Inputs!$B$32/('Voyage Model'!$D$8*(365/G29*Inputs!$B$30)/Inputs!$B$32),1)</f>
        <v>54</v>
      </c>
      <c r="F29" s="60" t="n">
        <f aca="false">2*(A29/Inputs!$B$12/24)+2*Inputs!$B$13</f>
        <v>72.8828828828829</v>
      </c>
      <c r="G29" s="60" t="n">
        <f aca="false">2*(A29/Inputs!$B$22/24)+2*Inputs!$B$23</f>
        <v>89.5315390153403</v>
      </c>
      <c r="H29" s="61" t="n">
        <f aca="false">1-(1-Inputs!$B$14)^(A29/Inputs!$B$12/24)</f>
        <v>0.0680287941183735</v>
      </c>
    </row>
    <row r="30" customFormat="false" ht="15" hidden="false" customHeight="false" outlineLevel="0" collapsed="false">
      <c r="A30" s="58" t="n">
        <v>26000</v>
      </c>
      <c r="B30" s="44" t="n">
        <f aca="false">('Voyage Model'!$C$8*(1-H30)*(365/F30*Inputs!$B$30))/1000000</f>
        <v>44.77212854525</v>
      </c>
      <c r="C30" s="45" t="n">
        <f aca="false">('Voyage Model'!$D$8*(365/G30*Inputs!$B$30)/Inputs!$B$32)/1000000</f>
        <v>10.0610913608933</v>
      </c>
      <c r="D30" s="46" t="n">
        <f aca="false">CEILING(Inputs!$B$31*1000000/('Voyage Model'!$C$8*(1-H30)*(365/F30*Inputs!$B$30)),1)</f>
        <v>3</v>
      </c>
      <c r="E30" s="47" t="n">
        <f aca="false">CEILING(Inputs!$B$31*1000000*Inputs!$B$32/('Voyage Model'!$D$8*(365/G30*Inputs!$B$30)/Inputs!$B$32),1)</f>
        <v>56</v>
      </c>
      <c r="F30" s="60" t="n">
        <f aca="false">2*(A30/Inputs!$B$12/24)+2*Inputs!$B$13</f>
        <v>75.6981981981982</v>
      </c>
      <c r="G30" s="60" t="n">
        <f aca="false">2*(A30/Inputs!$B$22/24)+2*Inputs!$B$23</f>
        <v>92.9928005759539</v>
      </c>
      <c r="H30" s="61" t="n">
        <f aca="false">1-(1-Inputs!$B$14)^(A30/Inputs!$B$12/24)</f>
        <v>0.0706515168957742</v>
      </c>
    </row>
    <row r="31" customFormat="false" ht="15" hidden="false" customHeight="false" outlineLevel="0" collapsed="false">
      <c r="A31" s="58" t="n">
        <v>27000</v>
      </c>
      <c r="B31" s="44" t="n">
        <f aca="false">('Voyage Model'!$C$8*(1-H31)*(365/F31*Inputs!$B$30))/1000000</f>
        <v>43.0452239325596</v>
      </c>
      <c r="C31" s="45" t="n">
        <f aca="false">('Voyage Model'!$D$8*(365/G31*Inputs!$B$30)/Inputs!$B$32)/1000000</f>
        <v>9.70004831082478</v>
      </c>
      <c r="D31" s="46" t="n">
        <f aca="false">CEILING(Inputs!$B$31*1000000/('Voyage Model'!$C$8*(1-H31)*(365/F31*Inputs!$B$30)),1)</f>
        <v>3</v>
      </c>
      <c r="E31" s="47" t="n">
        <f aca="false">CEILING(Inputs!$B$31*1000000*Inputs!$B$32/('Voyage Model'!$D$8*(365/G31*Inputs!$B$30)/Inputs!$B$32),1)</f>
        <v>59</v>
      </c>
      <c r="F31" s="60" t="n">
        <f aca="false">2*(A31/Inputs!$B$12/24)+2*Inputs!$B$13</f>
        <v>78.5135135135135</v>
      </c>
      <c r="G31" s="60" t="n">
        <f aca="false">2*(A31/Inputs!$B$22/24)+2*Inputs!$B$23</f>
        <v>96.4540621365675</v>
      </c>
      <c r="H31" s="61" t="n">
        <f aca="false">1-(1-Inputs!$B$14)^(A31/Inputs!$B$12/24)</f>
        <v>0.0732668588928206</v>
      </c>
    </row>
    <row r="32" customFormat="false" ht="15" hidden="false" customHeight="false" outlineLevel="0" collapsed="false">
      <c r="A32" s="58" t="n">
        <v>28000</v>
      </c>
      <c r="B32" s="44" t="n">
        <f aca="false">('Voyage Model'!$C$8*(1-H32)*(365/F32*Inputs!$B$30))/1000000</f>
        <v>41.4382079596222</v>
      </c>
      <c r="C32" s="45" t="n">
        <f aca="false">('Voyage Model'!$D$8*(365/G32*Inputs!$B$30)/Inputs!$B$32)/1000000</f>
        <v>9.36401973070319</v>
      </c>
      <c r="D32" s="46" t="n">
        <f aca="false">CEILING(Inputs!$B$31*1000000/('Voyage Model'!$C$8*(1-H32)*(365/F32*Inputs!$B$30)),1)</f>
        <v>3</v>
      </c>
      <c r="E32" s="47" t="n">
        <f aca="false">CEILING(Inputs!$B$31*1000000*Inputs!$B$32/('Voyage Model'!$D$8*(365/G32*Inputs!$B$30)/Inputs!$B$32),1)</f>
        <v>61</v>
      </c>
      <c r="F32" s="60" t="n">
        <f aca="false">2*(A32/Inputs!$B$12/24)+2*Inputs!$B$13</f>
        <v>81.3288288288288</v>
      </c>
      <c r="G32" s="60" t="n">
        <f aca="false">2*(A32/Inputs!$B$22/24)+2*Inputs!$B$23</f>
        <v>99.9153236971811</v>
      </c>
      <c r="H32" s="61" t="n">
        <f aca="false">1-(1-Inputs!$B$14)^(A32/Inputs!$B$12/24)</f>
        <v>0.0758748408802628</v>
      </c>
    </row>
    <row r="33" customFormat="false" ht="15" hidden="false" customHeight="false" outlineLevel="0" collapsed="false">
      <c r="A33" s="58" t="n">
        <v>29000</v>
      </c>
      <c r="B33" s="44" t="n">
        <f aca="false">('Voyage Model'!$C$8*(1-H33)*(365/F33*Inputs!$B$30))/1000000</f>
        <v>39.9390459386378</v>
      </c>
      <c r="C33" s="45" t="n">
        <f aca="false">('Voyage Model'!$D$8*(365/G33*Inputs!$B$30)/Inputs!$B$32)/1000000</f>
        <v>9.05049301219256</v>
      </c>
      <c r="D33" s="46" t="n">
        <f aca="false">CEILING(Inputs!$B$31*1000000/('Voyage Model'!$C$8*(1-H33)*(365/F33*Inputs!$B$30)),1)</f>
        <v>3</v>
      </c>
      <c r="E33" s="47" t="n">
        <f aca="false">CEILING(Inputs!$B$31*1000000*Inputs!$B$32/('Voyage Model'!$D$8*(365/G33*Inputs!$B$30)/Inputs!$B$32),1)</f>
        <v>63</v>
      </c>
      <c r="F33" s="60" t="n">
        <f aca="false">2*(A33/Inputs!$B$12/24)+2*Inputs!$B$13</f>
        <v>84.1441441441441</v>
      </c>
      <c r="G33" s="60" t="n">
        <f aca="false">2*(A33/Inputs!$B$22/24)+2*Inputs!$B$23</f>
        <v>103.376585257795</v>
      </c>
      <c r="H33" s="61" t="n">
        <f aca="false">1-(1-Inputs!$B$14)^(A33/Inputs!$B$12/24)</f>
        <v>0.0784754835703977</v>
      </c>
    </row>
    <row r="34" customFormat="false" ht="15" hidden="false" customHeight="false" outlineLevel="0" collapsed="false">
      <c r="A34" s="58" t="n">
        <v>30000</v>
      </c>
      <c r="B34" s="44" t="n">
        <f aca="false">('Voyage Model'!$C$8*(1-H34)*(365/F34*Inputs!$B$30))/1000000</f>
        <v>38.5372616778795</v>
      </c>
      <c r="C34" s="45" t="n">
        <f aca="false">('Voyage Model'!$D$8*(365/G34*Inputs!$B$30)/Inputs!$B$32)/1000000</f>
        <v>8.75728115421728</v>
      </c>
      <c r="D34" s="46" t="n">
        <f aca="false">CEILING(Inputs!$B$31*1000000/('Voyage Model'!$C$8*(1-H34)*(365/F34*Inputs!$B$30)),1)</f>
        <v>3</v>
      </c>
      <c r="E34" s="47" t="n">
        <f aca="false">CEILING(Inputs!$B$31*1000000*Inputs!$B$32/('Voyage Model'!$D$8*(365/G34*Inputs!$B$30)/Inputs!$B$32),1)</f>
        <v>65</v>
      </c>
      <c r="F34" s="60" t="n">
        <f aca="false">2*(A34/Inputs!$B$12/24)+2*Inputs!$B$13</f>
        <v>86.9594594594595</v>
      </c>
      <c r="G34" s="60" t="n">
        <f aca="false">2*(A34/Inputs!$B$22/24)+2*Inputs!$B$23</f>
        <v>106.837846818408</v>
      </c>
      <c r="H34" s="61" t="n">
        <f aca="false">1-(1-Inputs!$B$14)^(A34/Inputs!$B$12/24)</f>
        <v>0.0810688076172355</v>
      </c>
    </row>
    <row r="35" customFormat="false" ht="15" hidden="false" customHeight="false" outlineLevel="0" collapsed="false">
      <c r="A35" s="58" t="n">
        <v>31000</v>
      </c>
      <c r="B35" s="44" t="n">
        <f aca="false">('Voyage Model'!$C$8*(1-H35)*(365/F35*Inputs!$B$30))/1000000</f>
        <v>37.2236931113791</v>
      </c>
      <c r="C35" s="45" t="n">
        <f aca="false">('Voyage Model'!$D$8*(365/G35*Inputs!$B$30)/Inputs!$B$32)/1000000</f>
        <v>8.48247167406791</v>
      </c>
      <c r="D35" s="46" t="n">
        <f aca="false">CEILING(Inputs!$B$31*1000000/('Voyage Model'!$C$8*(1-H35)*(365/F35*Inputs!$B$30)),1)</f>
        <v>3</v>
      </c>
      <c r="E35" s="47" t="n">
        <f aca="false">CEILING(Inputs!$B$31*1000000*Inputs!$B$32/('Voyage Model'!$D$8*(365/G35*Inputs!$B$30)/Inputs!$B$32),1)</f>
        <v>67</v>
      </c>
      <c r="F35" s="60" t="n">
        <f aca="false">2*(A35/Inputs!$B$12/24)+2*Inputs!$B$13</f>
        <v>89.7747747747748</v>
      </c>
      <c r="G35" s="60" t="n">
        <f aca="false">2*(A35/Inputs!$B$22/24)+2*Inputs!$B$23</f>
        <v>110.299108379022</v>
      </c>
      <c r="H35" s="61" t="n">
        <f aca="false">1-(1-Inputs!$B$14)^(A35/Inputs!$B$12/24)</f>
        <v>0.0836548336166614</v>
      </c>
    </row>
    <row r="36" customFormat="false" ht="15" hidden="false" customHeight="false" outlineLevel="0" collapsed="false">
      <c r="A36" s="58" t="n">
        <v>32000</v>
      </c>
      <c r="B36" s="44" t="n">
        <f aca="false">('Voyage Model'!$C$8*(1-H36)*(365/F36*Inputs!$B$30))/1000000</f>
        <v>35.9902925108891</v>
      </c>
      <c r="C36" s="45" t="n">
        <f aca="false">('Voyage Model'!$D$8*(365/G36*Inputs!$B$30)/Inputs!$B$32)/1000000</f>
        <v>8.22438484506037</v>
      </c>
      <c r="D36" s="46" t="n">
        <f aca="false">CEILING(Inputs!$B$31*1000000/('Voyage Model'!$C$8*(1-H36)*(365/F36*Inputs!$B$30)),1)</f>
        <v>3</v>
      </c>
      <c r="E36" s="47" t="n">
        <f aca="false">CEILING(Inputs!$B$31*1000000*Inputs!$B$32/('Voyage Model'!$D$8*(365/G36*Inputs!$B$30)/Inputs!$B$32),1)</f>
        <v>69</v>
      </c>
      <c r="F36" s="60" t="n">
        <f aca="false">2*(A36/Inputs!$B$12/24)+2*Inputs!$B$13</f>
        <v>92.5900900900901</v>
      </c>
      <c r="G36" s="60" t="n">
        <f aca="false">2*(A36/Inputs!$B$22/24)+2*Inputs!$B$23</f>
        <v>113.760369939636</v>
      </c>
      <c r="H36" s="61" t="n">
        <f aca="false">1-(1-Inputs!$B$14)^(A36/Inputs!$B$12/24)</f>
        <v>0.0862335821066013</v>
      </c>
    </row>
    <row r="37" customFormat="false" ht="15" hidden="false" customHeight="false" outlineLevel="0" collapsed="false">
      <c r="A37" s="58" t="n">
        <v>33000</v>
      </c>
      <c r="B37" s="44" t="n">
        <f aca="false">('Voyage Model'!$C$8*(1-H37)*(365/F37*Inputs!$B$30))/1000000</f>
        <v>34.8299620710802</v>
      </c>
      <c r="C37" s="45" t="n">
        <f aca="false">('Voyage Model'!$D$8*(365/G37*Inputs!$B$30)/Inputs!$B$32)/1000000</f>
        <v>7.98153933301987</v>
      </c>
      <c r="D37" s="46" t="n">
        <f aca="false">CEILING(Inputs!$B$31*1000000/('Voyage Model'!$C$8*(1-H37)*(365/F37*Inputs!$B$30)),1)</f>
        <v>3</v>
      </c>
      <c r="E37" s="47" t="n">
        <f aca="false">CEILING(Inputs!$B$31*1000000*Inputs!$B$32/('Voyage Model'!$D$8*(365/G37*Inputs!$B$30)/Inputs!$B$32),1)</f>
        <v>71</v>
      </c>
      <c r="F37" s="60" t="n">
        <f aca="false">2*(A37/Inputs!$B$12/24)+2*Inputs!$B$13</f>
        <v>95.4054054054054</v>
      </c>
      <c r="G37" s="60" t="n">
        <f aca="false">2*(A37/Inputs!$B$22/24)+2*Inputs!$B$23</f>
        <v>117.221631500249</v>
      </c>
      <c r="H37" s="61" t="n">
        <f aca="false">1-(1-Inputs!$B$14)^(A37/Inputs!$B$12/24)</f>
        <v>0.0888050735671832</v>
      </c>
    </row>
    <row r="38" customFormat="false" ht="15" hidden="false" customHeight="false" outlineLevel="0" collapsed="false">
      <c r="A38" s="58" t="n">
        <v>34000</v>
      </c>
      <c r="B38" s="44" t="n">
        <f aca="false">('Voyage Model'!$C$8*(1-H38)*(365/F38*Inputs!$B$30))/1000000</f>
        <v>33.736417770617</v>
      </c>
      <c r="C38" s="45" t="n">
        <f aca="false">('Voyage Model'!$D$8*(365/G38*Inputs!$B$30)/Inputs!$B$32)/1000000</f>
        <v>7.75262374616884</v>
      </c>
      <c r="D38" s="46" t="n">
        <f aca="false">CEILING(Inputs!$B$31*1000000/('Voyage Model'!$C$8*(1-H38)*(365/F38*Inputs!$B$30)),1)</f>
        <v>3</v>
      </c>
      <c r="E38" s="47" t="n">
        <f aca="false">CEILING(Inputs!$B$31*1000000*Inputs!$B$32/('Voyage Model'!$D$8*(365/G38*Inputs!$B$30)/Inputs!$B$32),1)</f>
        <v>73</v>
      </c>
      <c r="F38" s="60" t="n">
        <f aca="false">2*(A38/Inputs!$B$12/24)+2*Inputs!$B$13</f>
        <v>98.2207207207207</v>
      </c>
      <c r="G38" s="60" t="n">
        <f aca="false">2*(A38/Inputs!$B$22/24)+2*Inputs!$B$23</f>
        <v>120.682893060863</v>
      </c>
      <c r="H38" s="61" t="n">
        <f aca="false">1-(1-Inputs!$B$14)^(A38/Inputs!$B$12/24)</f>
        <v>0.0913693284209012</v>
      </c>
    </row>
    <row r="39" customFormat="false" ht="15" hidden="false" customHeight="false" outlineLevel="0" collapsed="false">
      <c r="A39" s="58" t="n">
        <v>35000</v>
      </c>
      <c r="B39" s="44" t="n">
        <f aca="false">('Voyage Model'!$C$8*(1-H39)*(365/F39*Inputs!$B$30))/1000000</f>
        <v>32.7040759938647</v>
      </c>
      <c r="C39" s="45" t="n">
        <f aca="false">('Voyage Model'!$D$8*(365/G39*Inputs!$B$30)/Inputs!$B$32)/1000000</f>
        <v>7.5364729443181</v>
      </c>
      <c r="D39" s="46" t="n">
        <f aca="false">CEILING(Inputs!$B$31*1000000/('Voyage Model'!$C$8*(1-H39)*(365/F39*Inputs!$B$30)),1)</f>
        <v>4</v>
      </c>
      <c r="E39" s="47" t="n">
        <f aca="false">CEILING(Inputs!$B$31*1000000*Inputs!$B$32/('Voyage Model'!$D$8*(365/G39*Inputs!$B$30)/Inputs!$B$32),1)</f>
        <v>75</v>
      </c>
      <c r="F39" s="60" t="n">
        <f aca="false">2*(A39/Inputs!$B$12/24)+2*Inputs!$B$13</f>
        <v>101.036036036036</v>
      </c>
      <c r="G39" s="60" t="n">
        <f aca="false">2*(A39/Inputs!$B$22/24)+2*Inputs!$B$23</f>
        <v>124.144154621476</v>
      </c>
      <c r="H39" s="61" t="n">
        <f aca="false">1-(1-Inputs!$B$14)^(A39/Inputs!$B$12/24)</f>
        <v>0.0939263670327766</v>
      </c>
    </row>
    <row r="40" customFormat="false" ht="15" hidden="false" customHeight="false" outlineLevel="0" collapsed="false">
      <c r="A40" s="58" t="n">
        <v>36000</v>
      </c>
      <c r="B40" s="44" t="n">
        <f aca="false">('Voyage Model'!$C$8*(1-H40)*(365/F40*Inputs!$B$30))/1000000</f>
        <v>31.7279585940884</v>
      </c>
      <c r="C40" s="45" t="n">
        <f aca="false">('Voyage Model'!$D$8*(365/G40*Inputs!$B$30)/Inputs!$B$32)/1000000</f>
        <v>7.33204820369777</v>
      </c>
      <c r="D40" s="46" t="n">
        <f aca="false">CEILING(Inputs!$B$31*1000000/('Voyage Model'!$C$8*(1-H40)*(365/F40*Inputs!$B$30)),1)</f>
        <v>4</v>
      </c>
      <c r="E40" s="47" t="n">
        <f aca="false">CEILING(Inputs!$B$31*1000000*Inputs!$B$32/('Voyage Model'!$D$8*(365/G40*Inputs!$B$30)/Inputs!$B$32),1)</f>
        <v>77</v>
      </c>
      <c r="F40" s="60" t="n">
        <f aca="false">2*(A40/Inputs!$B$12/24)+2*Inputs!$B$13</f>
        <v>103.851351351351</v>
      </c>
      <c r="G40" s="60" t="n">
        <f aca="false">2*(A40/Inputs!$B$22/24)+2*Inputs!$B$23</f>
        <v>127.60541618209</v>
      </c>
      <c r="H40" s="61" t="n">
        <f aca="false">1-(1-Inputs!$B$14)^(A40/Inputs!$B$12/24)</f>
        <v>0.0964762097105204</v>
      </c>
    </row>
    <row r="41" customFormat="false" ht="15" hidden="false" customHeight="false" outlineLevel="0" collapsed="false">
      <c r="A41" s="58" t="n">
        <v>37000</v>
      </c>
      <c r="B41" s="44" t="n">
        <f aca="false">('Voyage Model'!$C$8*(1-H41)*(365/F41*Inputs!$B$30))/1000000</f>
        <v>30.803612990985</v>
      </c>
      <c r="C41" s="45" t="n">
        <f aca="false">('Voyage Model'!$D$8*(365/G41*Inputs!$B$30)/Inputs!$B$32)/1000000</f>
        <v>7.13842052467897</v>
      </c>
      <c r="D41" s="46" t="n">
        <f aca="false">CEILING(Inputs!$B$31*1000000/('Voyage Model'!$C$8*(1-H41)*(365/F41*Inputs!$B$30)),1)</f>
        <v>4</v>
      </c>
      <c r="E41" s="47" t="n">
        <f aca="false">CEILING(Inputs!$B$31*1000000*Inputs!$B$32/('Voyage Model'!$D$8*(365/G41*Inputs!$B$30)/Inputs!$B$32),1)</f>
        <v>79</v>
      </c>
      <c r="F41" s="60" t="n">
        <f aca="false">2*(A41/Inputs!$B$12/24)+2*Inputs!$B$13</f>
        <v>106.666666666667</v>
      </c>
      <c r="G41" s="60" t="n">
        <f aca="false">2*(A41/Inputs!$B$22/24)+2*Inputs!$B$23</f>
        <v>131.066677742704</v>
      </c>
      <c r="H41" s="61" t="n">
        <f aca="false">1-(1-Inputs!$B$14)^(A41/Inputs!$B$12/24)</f>
        <v>0.0990188767046943</v>
      </c>
    </row>
    <row r="42" customFormat="false" ht="15" hidden="false" customHeight="false" outlineLevel="0" collapsed="false">
      <c r="A42" s="58" t="n">
        <v>38000</v>
      </c>
      <c r="B42" s="44" t="n">
        <f aca="false">('Voyage Model'!$C$8*(1-H42)*(365/F42*Inputs!$B$30))/1000000</f>
        <v>29.9270445963064</v>
      </c>
      <c r="C42" s="45" t="n">
        <f aca="false">('Voyage Model'!$D$8*(365/G42*Inputs!$B$30)/Inputs!$B$32)/1000000</f>
        <v>6.95475651634344</v>
      </c>
      <c r="D42" s="46" t="n">
        <f aca="false">CEILING(Inputs!$B$31*1000000/('Voyage Model'!$C$8*(1-H42)*(365/F42*Inputs!$B$30)),1)</f>
        <v>4</v>
      </c>
      <c r="E42" s="47" t="n">
        <f aca="false">CEILING(Inputs!$B$31*1000000*Inputs!$B$32/('Voyage Model'!$D$8*(365/G42*Inputs!$B$30)/Inputs!$B$32),1)</f>
        <v>81</v>
      </c>
      <c r="F42" s="60" t="n">
        <f aca="false">2*(A42/Inputs!$B$12/24)+2*Inputs!$B$13</f>
        <v>109.481981981982</v>
      </c>
      <c r="G42" s="60" t="n">
        <f aca="false">2*(A42/Inputs!$B$22/24)+2*Inputs!$B$23</f>
        <v>134.527939303317</v>
      </c>
      <c r="H42" s="61" t="n">
        <f aca="false">1-(1-Inputs!$B$14)^(A42/Inputs!$B$12/24)</f>
        <v>0.101554388208871</v>
      </c>
    </row>
    <row r="43" customFormat="false" ht="15" hidden="false" customHeight="false" outlineLevel="0" collapsed="false">
      <c r="A43" s="58" t="n">
        <v>39000</v>
      </c>
      <c r="B43" s="44" t="n">
        <f aca="false">('Voyage Model'!$C$8*(1-H43)*(365/F43*Inputs!$B$30))/1000000</f>
        <v>29.0946594040998</v>
      </c>
      <c r="C43" s="45" t="n">
        <f aca="false">('Voyage Model'!$D$8*(365/G43*Inputs!$B$30)/Inputs!$B$32)/1000000</f>
        <v>6.78030640544538</v>
      </c>
      <c r="D43" s="46" t="n">
        <f aca="false">CEILING(Inputs!$B$31*1000000/('Voyage Model'!$C$8*(1-H43)*(365/F43*Inputs!$B$30)),1)</f>
        <v>4</v>
      </c>
      <c r="E43" s="47" t="n">
        <f aca="false">CEILING(Inputs!$B$31*1000000*Inputs!$B$32/('Voyage Model'!$D$8*(365/G43*Inputs!$B$30)/Inputs!$B$32),1)</f>
        <v>84</v>
      </c>
      <c r="F43" s="60" t="n">
        <f aca="false">2*(A43/Inputs!$B$12/24)+2*Inputs!$B$13</f>
        <v>112.297297297297</v>
      </c>
      <c r="G43" s="60" t="n">
        <f aca="false">2*(A43/Inputs!$B$22/24)+2*Inputs!$B$23</f>
        <v>137.989200863931</v>
      </c>
      <c r="H43" s="61" t="n">
        <f aca="false">1-(1-Inputs!$B$14)^(A43/Inputs!$B$12/24)</f>
        <v>0.104082764359797</v>
      </c>
    </row>
    <row r="44" customFormat="false" ht="15" hidden="false" customHeight="false" outlineLevel="0" collapsed="false">
      <c r="A44" s="58" t="n">
        <v>40000</v>
      </c>
      <c r="B44" s="44" t="n">
        <f aca="false">('Voyage Model'!$C$8*(1-H44)*(365/F44*Inputs!$B$30))/1000000</f>
        <v>28.3032150053902</v>
      </c>
      <c r="C44" s="45" t="n">
        <f aca="false">('Voyage Model'!$D$8*(365/G44*Inputs!$B$30)/Inputs!$B$32)/1000000</f>
        <v>6.61439380588164</v>
      </c>
      <c r="D44" s="46" t="n">
        <f aca="false">CEILING(Inputs!$B$31*1000000/('Voyage Model'!$C$8*(1-H44)*(365/F44*Inputs!$B$30)),1)</f>
        <v>4</v>
      </c>
      <c r="E44" s="47" t="n">
        <f aca="false">CEILING(Inputs!$B$31*1000000*Inputs!$B$32/('Voyage Model'!$D$8*(365/G44*Inputs!$B$30)/Inputs!$B$32),1)</f>
        <v>86</v>
      </c>
      <c r="F44" s="60" t="n">
        <f aca="false">2*(A44/Inputs!$B$12/24)+2*Inputs!$B$13</f>
        <v>115.112612612613</v>
      </c>
      <c r="G44" s="60" t="n">
        <f aca="false">2*(A44/Inputs!$B$22/24)+2*Inputs!$B$23</f>
        <v>141.450462424545</v>
      </c>
      <c r="H44" s="61" t="n">
        <f aca="false">1-(1-Inputs!$B$14)^(A44/Inputs!$B$12/24)</f>
        <v>0.106604025237548</v>
      </c>
    </row>
    <row r="46" customFormat="false" ht="15" hidden="false" customHeight="false" outlineLevel="0" collapsed="false">
      <c r="A46" s="19" t="s">
        <v>208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7C9E"/>
    <pageSetUpPr fitToPage="true"/>
  </sheetPr>
  <dimension ref="A1:O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5" min="3" style="1" width="16"/>
    <col collapsed="false" customWidth="true" hidden="true" outlineLevel="0" max="6" min="6" style="1" width="40"/>
    <col collapsed="false" customWidth="true" hidden="true" outlineLevel="0" max="15" min="7" style="1" width="13"/>
  </cols>
  <sheetData>
    <row r="1" customFormat="false" ht="25.5" hidden="false" customHeight="true" outlineLevel="0" collapsed="false">
      <c r="A1" s="2" t="s">
        <v>209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s">
        <v>210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6" t="s">
        <v>211</v>
      </c>
      <c r="B4" s="16" t="s">
        <v>212</v>
      </c>
      <c r="C4" s="16" t="s">
        <v>213</v>
      </c>
      <c r="D4" s="16" t="s">
        <v>214</v>
      </c>
      <c r="E4" s="16" t="s">
        <v>215</v>
      </c>
    </row>
    <row r="5" customFormat="false" ht="15" hidden="false" customHeight="false" outlineLevel="0" collapsed="false">
      <c r="A5" s="62" t="n">
        <v>0</v>
      </c>
      <c r="B5" s="63" t="n">
        <f aca="false">L5</f>
        <v>0</v>
      </c>
      <c r="C5" s="35" t="n">
        <f aca="false">M5/1000/(IF(Inputs!$B$43="Per day",'Voyage Model'!$C$6,1))</f>
        <v>0</v>
      </c>
      <c r="D5" s="35" t="n">
        <f aca="false">N5/1000/(IF(Inputs!$B$43="Per day",'Voyage Model'!$C$6,1))</f>
        <v>0</v>
      </c>
      <c r="E5" s="35" t="n">
        <f aca="false">O5/(IF(Inputs!$B$43="Per day",'Voyage Model'!$C$6,1))</f>
        <v>746.058558558559</v>
      </c>
      <c r="G5" s="61" t="n">
        <f aca="false">1-(1-A5)^'Voyage Model'!$C$6</f>
        <v>0</v>
      </c>
      <c r="H5" s="58" t="n">
        <f aca="false">'Voyage Model'!$C$8*G5</f>
        <v>0</v>
      </c>
      <c r="I5" s="58" t="n">
        <f aca="false">H5*Inputs!$B$34*Inputs!$B$35</f>
        <v>0</v>
      </c>
      <c r="J5" s="58" t="n">
        <f aca="false">MIN(I5,'Voyage Model'!$C$19)</f>
        <v>0</v>
      </c>
      <c r="K5" s="58" t="n">
        <f aca="false">MAX(0,I5-'Voyage Model'!$C$19)</f>
        <v>0</v>
      </c>
      <c r="L5" s="63" t="n">
        <f aca="false">IF('Voyage Model'!$C$19=0,0,I5/'Voyage Model'!$C$19)</f>
        <v>0</v>
      </c>
      <c r="M5" s="58" t="n">
        <f aca="false">J5/(Inputs!$B$34*Inputs!$B$35)</f>
        <v>0</v>
      </c>
      <c r="N5" s="58" t="n">
        <f aca="false">K5/(Inputs!$B$34*Inputs!$B$35)</f>
        <v>0</v>
      </c>
      <c r="O5" s="35" t="n">
        <f aca="false">MAX(0,'Voyage Model'!$C$19-I5)/Inputs!$B$33/1000</f>
        <v>746.058558558559</v>
      </c>
    </row>
    <row r="6" customFormat="false" ht="15" hidden="false" customHeight="false" outlineLevel="0" collapsed="false">
      <c r="A6" s="62" t="n">
        <v>0.0005</v>
      </c>
      <c r="B6" s="63" t="n">
        <f aca="false">L6</f>
        <v>0.658015661317188</v>
      </c>
      <c r="C6" s="35" t="n">
        <f aca="false">M6/1000/(IF(Inputs!$B$43="Per day",'Voyage Model'!$C$6,1))</f>
        <v>164.457602290071</v>
      </c>
      <c r="D6" s="35" t="n">
        <f aca="false">N6/1000/(IF(Inputs!$B$43="Per day",'Voyage Model'!$C$6,1))</f>
        <v>0</v>
      </c>
      <c r="E6" s="35" t="n">
        <f aca="false">O6/(IF(Inputs!$B$43="Per day",'Voyage Model'!$C$6,1))</f>
        <v>255.140342767301</v>
      </c>
      <c r="G6" s="61" t="n">
        <f aca="false">1-(1-A6)^'Voyage Model'!$C$6</f>
        <v>0.0148140783799283</v>
      </c>
      <c r="H6" s="58" t="n">
        <f aca="false">'Voyage Model'!$C$8*G6</f>
        <v>164457.602290071</v>
      </c>
      <c r="I6" s="58" t="n">
        <f aca="false">H6*Inputs!$B$34*Inputs!$B$35</f>
        <v>19734912.2748086</v>
      </c>
      <c r="J6" s="58" t="n">
        <f aca="false">MIN(I6,'Voyage Model'!$C$19)</f>
        <v>19734912.2748086</v>
      </c>
      <c r="K6" s="58" t="n">
        <f aca="false">MAX(0,I6-'Voyage Model'!$C$19)</f>
        <v>0</v>
      </c>
      <c r="L6" s="63" t="n">
        <f aca="false">IF('Voyage Model'!$C$19=0,0,I6/'Voyage Model'!$C$19)</f>
        <v>0.658015661317188</v>
      </c>
      <c r="M6" s="58" t="n">
        <f aca="false">J6/(Inputs!$B$34*Inputs!$B$35)</f>
        <v>164457.602290071</v>
      </c>
      <c r="N6" s="58" t="n">
        <f aca="false">K6/(Inputs!$B$34*Inputs!$B$35)</f>
        <v>0</v>
      </c>
      <c r="O6" s="35" t="n">
        <f aca="false">MAX(0,'Voyage Model'!$C$19-I6)/Inputs!$B$33/1000</f>
        <v>255.140342767301</v>
      </c>
    </row>
    <row r="7" customFormat="false" ht="15" hidden="false" customHeight="false" outlineLevel="0" collapsed="false">
      <c r="A7" s="62" t="n">
        <v>0.001</v>
      </c>
      <c r="B7" s="63" t="n">
        <f aca="false">L7</f>
        <v>1.30660538840199</v>
      </c>
      <c r="C7" s="35" t="n">
        <f aca="false">M7/1000/(IF(Inputs!$B$43="Per day",'Voyage Model'!$C$6,1))</f>
        <v>249.929617117117</v>
      </c>
      <c r="D7" s="35" t="n">
        <f aca="false">N7/1000/(IF(Inputs!$B$43="Per day",'Voyage Model'!$C$6,1))</f>
        <v>76.6297673293539</v>
      </c>
      <c r="E7" s="35" t="n">
        <f aca="false">O7/(IF(Inputs!$B$43="Per day",'Voyage Model'!$C$6,1))</f>
        <v>0</v>
      </c>
      <c r="G7" s="61" t="n">
        <f aca="false">1-(1-A7)^'Voyage Model'!$C$6</f>
        <v>0.0294159482415318</v>
      </c>
      <c r="H7" s="58" t="n">
        <f aca="false">'Voyage Model'!$C$8*G7</f>
        <v>326559.384446471</v>
      </c>
      <c r="I7" s="58" t="n">
        <f aca="false">H7*Inputs!$B$34*Inputs!$B$35</f>
        <v>39187126.1335765</v>
      </c>
      <c r="J7" s="58" t="n">
        <f aca="false">MIN(I7,'Voyage Model'!$C$19)</f>
        <v>29991554.0540541</v>
      </c>
      <c r="K7" s="58" t="n">
        <f aca="false">MAX(0,I7-'Voyage Model'!$C$19)</f>
        <v>9195572.07952247</v>
      </c>
      <c r="L7" s="63" t="n">
        <f aca="false">IF('Voyage Model'!$C$19=0,0,I7/'Voyage Model'!$C$19)</f>
        <v>1.30660538840199</v>
      </c>
      <c r="M7" s="58" t="n">
        <f aca="false">J7/(Inputs!$B$34*Inputs!$B$35)</f>
        <v>249929.617117117</v>
      </c>
      <c r="N7" s="58" t="n">
        <f aca="false">K7/(Inputs!$B$34*Inputs!$B$35)</f>
        <v>76629.7673293539</v>
      </c>
      <c r="O7" s="35" t="n">
        <f aca="false">MAX(0,'Voyage Model'!$C$19-I7)/Inputs!$B$33/1000</f>
        <v>0</v>
      </c>
    </row>
    <row r="8" customFormat="false" ht="15" hidden="false" customHeight="false" outlineLevel="0" collapsed="false">
      <c r="A8" s="62" t="n">
        <v>0.0015</v>
      </c>
      <c r="B8" s="63" t="n">
        <f aca="false">L8</f>
        <v>1.9458995891378</v>
      </c>
      <c r="C8" s="35" t="n">
        <f aca="false">M8/1000/(IF(Inputs!$B$43="Per day",'Voyage Model'!$C$6,1))</f>
        <v>249.929617117117</v>
      </c>
      <c r="D8" s="35" t="n">
        <f aca="false">N8/1000/(IF(Inputs!$B$43="Per day",'Voyage Model'!$C$6,1))</f>
        <v>236.408322144448</v>
      </c>
      <c r="E8" s="35" t="n">
        <f aca="false">O8/(IF(Inputs!$B$43="Per day",'Voyage Model'!$C$6,1))</f>
        <v>0</v>
      </c>
      <c r="G8" s="61" t="n">
        <f aca="false">1-(1-A8)^'Voyage Model'!$C$6</f>
        <v>0.0438085454915367</v>
      </c>
      <c r="H8" s="58" t="n">
        <f aca="false">'Voyage Model'!$C$8*G8</f>
        <v>486337.939261565</v>
      </c>
      <c r="I8" s="58" t="n">
        <f aca="false">H8*Inputs!$B$34*Inputs!$B$35</f>
        <v>58360552.7113878</v>
      </c>
      <c r="J8" s="58" t="n">
        <f aca="false">MIN(I8,'Voyage Model'!$C$19)</f>
        <v>29991554.0540541</v>
      </c>
      <c r="K8" s="58" t="n">
        <f aca="false">MAX(0,I8-'Voyage Model'!$C$19)</f>
        <v>28368998.6573337</v>
      </c>
      <c r="L8" s="63" t="n">
        <f aca="false">IF('Voyage Model'!$C$19=0,0,I8/'Voyage Model'!$C$19)</f>
        <v>1.9458995891378</v>
      </c>
      <c r="M8" s="58" t="n">
        <f aca="false">J8/(Inputs!$B$34*Inputs!$B$35)</f>
        <v>249929.617117117</v>
      </c>
      <c r="N8" s="58" t="n">
        <f aca="false">K8/(Inputs!$B$34*Inputs!$B$35)</f>
        <v>236408.322144448</v>
      </c>
      <c r="O8" s="35" t="n">
        <f aca="false">MAX(0,'Voyage Model'!$C$19-I8)/Inputs!$B$33/1000</f>
        <v>0</v>
      </c>
    </row>
    <row r="9" customFormat="false" ht="15" hidden="false" customHeight="false" outlineLevel="0" collapsed="false">
      <c r="A9" s="62" t="n">
        <v>0.002</v>
      </c>
      <c r="B9" s="63" t="n">
        <f aca="false">L9</f>
        <v>2.57602693114889</v>
      </c>
      <c r="C9" s="35" t="n">
        <f aca="false">M9/1000/(IF(Inputs!$B$43="Per day",'Voyage Model'!$C$6,1))</f>
        <v>249.929617117117</v>
      </c>
      <c r="D9" s="35" t="n">
        <f aca="false">N9/1000/(IF(Inputs!$B$43="Per day",'Voyage Model'!$C$6,1))</f>
        <v>393.895807468306</v>
      </c>
      <c r="E9" s="35" t="n">
        <f aca="false">O9/(IF(Inputs!$B$43="Per day",'Voyage Model'!$C$6,1))</f>
        <v>0</v>
      </c>
      <c r="G9" s="61" t="n">
        <f aca="false">1-(1-A9)^'Voyage Model'!$C$6</f>
        <v>0.0579947668577611</v>
      </c>
      <c r="H9" s="58" t="n">
        <f aca="false">'Voyage Model'!$C$8*G9</f>
        <v>643825.424585423</v>
      </c>
      <c r="I9" s="58" t="n">
        <f aca="false">H9*Inputs!$B$34*Inputs!$B$35</f>
        <v>77259050.9502508</v>
      </c>
      <c r="J9" s="58" t="n">
        <f aca="false">MIN(I9,'Voyage Model'!$C$19)</f>
        <v>29991554.0540541</v>
      </c>
      <c r="K9" s="58" t="n">
        <f aca="false">MAX(0,I9-'Voyage Model'!$C$19)</f>
        <v>47267496.8961967</v>
      </c>
      <c r="L9" s="63" t="n">
        <f aca="false">IF('Voyage Model'!$C$19=0,0,I9/'Voyage Model'!$C$19)</f>
        <v>2.57602693114889</v>
      </c>
      <c r="M9" s="58" t="n">
        <f aca="false">J9/(Inputs!$B$34*Inputs!$B$35)</f>
        <v>249929.617117117</v>
      </c>
      <c r="N9" s="58" t="n">
        <f aca="false">K9/(Inputs!$B$34*Inputs!$B$35)</f>
        <v>393895.807468306</v>
      </c>
      <c r="O9" s="35" t="n">
        <f aca="false">MAX(0,'Voyage Model'!$C$19-I9)/Inputs!$B$33/1000</f>
        <v>0</v>
      </c>
    </row>
    <row r="10" customFormat="false" ht="15" hidden="false" customHeight="false" outlineLevel="0" collapsed="false">
      <c r="A10" s="62" t="n">
        <v>0.0025</v>
      </c>
      <c r="B10" s="63" t="n">
        <f aca="false">L10</f>
        <v>3.19711436416854</v>
      </c>
      <c r="C10" s="35" t="n">
        <f aca="false">M10/1000/(IF(Inputs!$B$43="Per day",'Voyage Model'!$C$6,1))</f>
        <v>249.929617117117</v>
      </c>
      <c r="D10" s="35" t="n">
        <f aca="false">N10/1000/(IF(Inputs!$B$43="Per day",'Voyage Model'!$C$6,1))</f>
        <v>549.123951799161</v>
      </c>
      <c r="E10" s="35" t="n">
        <f aca="false">O10/(IF(Inputs!$B$43="Per day",'Voyage Model'!$C$6,1))</f>
        <v>0</v>
      </c>
      <c r="G10" s="61" t="n">
        <f aca="false">1-(1-A10)^'Voyage Model'!$C$6</f>
        <v>0.0719774703926949</v>
      </c>
      <c r="H10" s="58" t="n">
        <f aca="false">'Voyage Model'!$C$8*G10</f>
        <v>799053.568916278</v>
      </c>
      <c r="I10" s="58" t="n">
        <f aca="false">H10*Inputs!$B$34*Inputs!$B$35</f>
        <v>95886428.2699534</v>
      </c>
      <c r="J10" s="58" t="n">
        <f aca="false">MIN(I10,'Voyage Model'!$C$19)</f>
        <v>29991554.0540541</v>
      </c>
      <c r="K10" s="58" t="n">
        <f aca="false">MAX(0,I10-'Voyage Model'!$C$19)</f>
        <v>65894874.2158994</v>
      </c>
      <c r="L10" s="63" t="n">
        <f aca="false">IF('Voyage Model'!$C$19=0,0,I10/'Voyage Model'!$C$19)</f>
        <v>3.19711436416854</v>
      </c>
      <c r="M10" s="58" t="n">
        <f aca="false">J10/(Inputs!$B$34*Inputs!$B$35)</f>
        <v>249929.617117117</v>
      </c>
      <c r="N10" s="58" t="n">
        <f aca="false">K10/(Inputs!$B$34*Inputs!$B$35)</f>
        <v>549123.951799161</v>
      </c>
      <c r="O10" s="35" t="n">
        <f aca="false">MAX(0,'Voyage Model'!$C$19-I10)/Inputs!$B$33/1000</f>
        <v>0</v>
      </c>
    </row>
    <row r="11" customFormat="false" ht="15" hidden="false" customHeight="false" outlineLevel="0" collapsed="false">
      <c r="A11" s="62" t="n">
        <v>0.003</v>
      </c>
      <c r="B11" s="63" t="n">
        <f aca="false">L11</f>
        <v>3.8092871421329</v>
      </c>
      <c r="C11" s="35" t="n">
        <f aca="false">M11/1000/(IF(Inputs!$B$43="Per day",'Voyage Model'!$C$6,1))</f>
        <v>249.929617117117</v>
      </c>
      <c r="D11" s="35" t="n">
        <f aca="false">N11/1000/(IF(Inputs!$B$43="Per day",'Voyage Model'!$C$6,1))</f>
        <v>702.124059805316</v>
      </c>
      <c r="E11" s="35" t="n">
        <f aca="false">O11/(IF(Inputs!$B$43="Per day",'Voyage Model'!$C$6,1))</f>
        <v>0</v>
      </c>
      <c r="G11" s="61" t="n">
        <f aca="false">1-(1-A11)^'Voyage Model'!$C$6</f>
        <v>0.0857594759709041</v>
      </c>
      <c r="H11" s="58" t="n">
        <f aca="false">'Voyage Model'!$C$8*G11</f>
        <v>952053.676922433</v>
      </c>
      <c r="I11" s="58" t="n">
        <f aca="false">H11*Inputs!$B$34*Inputs!$B$35</f>
        <v>114246441.230692</v>
      </c>
      <c r="J11" s="58" t="n">
        <f aca="false">MIN(I11,'Voyage Model'!$C$19)</f>
        <v>29991554.0540541</v>
      </c>
      <c r="K11" s="58" t="n">
        <f aca="false">MAX(0,I11-'Voyage Model'!$C$19)</f>
        <v>84254887.1766379</v>
      </c>
      <c r="L11" s="63" t="n">
        <f aca="false">IF('Voyage Model'!$C$19=0,0,I11/'Voyage Model'!$C$19)</f>
        <v>3.8092871421329</v>
      </c>
      <c r="M11" s="58" t="n">
        <f aca="false">J11/(Inputs!$B$34*Inputs!$B$35)</f>
        <v>249929.617117117</v>
      </c>
      <c r="N11" s="58" t="n">
        <f aca="false">K11/(Inputs!$B$34*Inputs!$B$35)</f>
        <v>702124.059805316</v>
      </c>
      <c r="O11" s="35" t="n">
        <f aca="false">MAX(0,'Voyage Model'!$C$19-I11)/Inputs!$B$33/1000</f>
        <v>0</v>
      </c>
    </row>
    <row r="12" customFormat="false" ht="15" hidden="false" customHeight="false" outlineLevel="0" collapsed="false">
      <c r="A12" s="62" t="n">
        <v>0.0035</v>
      </c>
      <c r="B12" s="63" t="n">
        <f aca="false">L12</f>
        <v>4.41266884499936</v>
      </c>
      <c r="C12" s="35" t="n">
        <f aca="false">M12/1000/(IF(Inputs!$B$43="Per day",'Voyage Model'!$C$6,1))</f>
        <v>249.929617117117</v>
      </c>
      <c r="D12" s="35" t="n">
        <f aca="false">N12/1000/(IF(Inputs!$B$43="Per day",'Voyage Model'!$C$6,1))</f>
        <v>852.927017778205</v>
      </c>
      <c r="E12" s="35" t="n">
        <f aca="false">O12/(IF(Inputs!$B$43="Per day",'Voyage Model'!$C$6,1))</f>
        <v>0</v>
      </c>
      <c r="G12" s="61" t="n">
        <f aca="false">1-(1-A12)^'Voyage Model'!$C$6</f>
        <v>0.0993435657802341</v>
      </c>
      <c r="H12" s="58" t="n">
        <f aca="false">'Voyage Model'!$C$8*G12</f>
        <v>1102856.63489532</v>
      </c>
      <c r="I12" s="58" t="n">
        <f aca="false">H12*Inputs!$B$34*Inputs!$B$35</f>
        <v>132342796.187439</v>
      </c>
      <c r="J12" s="58" t="n">
        <f aca="false">MIN(I12,'Voyage Model'!$C$19)</f>
        <v>29991554.0540541</v>
      </c>
      <c r="K12" s="58" t="n">
        <f aca="false">MAX(0,I12-'Voyage Model'!$C$19)</f>
        <v>102351242.133385</v>
      </c>
      <c r="L12" s="63" t="n">
        <f aca="false">IF('Voyage Model'!$C$19=0,0,I12/'Voyage Model'!$C$19)</f>
        <v>4.41266884499936</v>
      </c>
      <c r="M12" s="58" t="n">
        <f aca="false">J12/(Inputs!$B$34*Inputs!$B$35)</f>
        <v>249929.617117117</v>
      </c>
      <c r="N12" s="58" t="n">
        <f aca="false">K12/(Inputs!$B$34*Inputs!$B$35)</f>
        <v>852927.017778205</v>
      </c>
      <c r="O12" s="35" t="n">
        <f aca="false">MAX(0,'Voyage Model'!$C$19-I12)/Inputs!$B$33/1000</f>
        <v>0</v>
      </c>
    </row>
    <row r="13" customFormat="false" ht="15" hidden="false" customHeight="false" outlineLevel="0" collapsed="false">
      <c r="A13" s="62" t="n">
        <v>0.004</v>
      </c>
      <c r="B13" s="63" t="n">
        <f aca="false">L13</f>
        <v>5.00738140029706</v>
      </c>
      <c r="C13" s="35" t="n">
        <f aca="false">M13/1000/(IF(Inputs!$B$43="Per day",'Voyage Model'!$C$6,1))</f>
        <v>249.929617117117</v>
      </c>
      <c r="D13" s="35" t="n">
        <f aca="false">N13/1000/(IF(Inputs!$B$43="Per day",'Voyage Model'!$C$6,1))</f>
        <v>1001.5632990185</v>
      </c>
      <c r="E13" s="35" t="n">
        <f aca="false">O13/(IF(Inputs!$B$43="Per day",'Voyage Model'!$C$6,1))</f>
        <v>0</v>
      </c>
      <c r="G13" s="61" t="n">
        <f aca="false">1-(1-A13)^'Voyage Model'!$C$6</f>
        <v>0.112732484806982</v>
      </c>
      <c r="H13" s="58" t="n">
        <f aca="false">'Voyage Model'!$C$8*G13</f>
        <v>1251492.91613562</v>
      </c>
      <c r="I13" s="58" t="n">
        <f aca="false">H13*Inputs!$B$34*Inputs!$B$35</f>
        <v>150179149.936274</v>
      </c>
      <c r="J13" s="58" t="n">
        <f aca="false">MIN(I13,'Voyage Model'!$C$19)</f>
        <v>29991554.0540541</v>
      </c>
      <c r="K13" s="58" t="n">
        <f aca="false">MAX(0,I13-'Voyage Model'!$C$19)</f>
        <v>120187595.88222</v>
      </c>
      <c r="L13" s="63" t="n">
        <f aca="false">IF('Voyage Model'!$C$19=0,0,I13/'Voyage Model'!$C$19)</f>
        <v>5.00738140029706</v>
      </c>
      <c r="M13" s="58" t="n">
        <f aca="false">J13/(Inputs!$B$34*Inputs!$B$35)</f>
        <v>249929.617117117</v>
      </c>
      <c r="N13" s="58" t="n">
        <f aca="false">K13/(Inputs!$B$34*Inputs!$B$35)</f>
        <v>1001563.2990185</v>
      </c>
      <c r="O13" s="35" t="n">
        <f aca="false">MAX(0,'Voyage Model'!$C$19-I13)/Inputs!$B$33/1000</f>
        <v>0</v>
      </c>
    </row>
    <row r="14" customFormat="false" ht="15" hidden="false" customHeight="false" outlineLevel="0" collapsed="false">
      <c r="A14" s="62" t="n">
        <v>0.0045</v>
      </c>
      <c r="B14" s="63" t="n">
        <f aca="false">L14</f>
        <v>5.59354510440853</v>
      </c>
      <c r="C14" s="35" t="n">
        <f aca="false">M14/1000/(IF(Inputs!$B$43="Per day",'Voyage Model'!$C$6,1))</f>
        <v>249.929617117117</v>
      </c>
      <c r="D14" s="35" t="n">
        <f aca="false">N14/1000/(IF(Inputs!$B$43="Per day",'Voyage Model'!$C$6,1))</f>
        <v>1148.06296915503</v>
      </c>
      <c r="E14" s="35" t="n">
        <f aca="false">O14/(IF(Inputs!$B$43="Per day",'Voyage Model'!$C$6,1))</f>
        <v>0</v>
      </c>
      <c r="G14" s="61" t="n">
        <f aca="false">1-(1-A14)^'Voyage Model'!$C$6</f>
        <v>0.125928941315014</v>
      </c>
      <c r="H14" s="58" t="n">
        <f aca="false">'Voyage Model'!$C$8*G14</f>
        <v>1397992.58627215</v>
      </c>
      <c r="I14" s="58" t="n">
        <f aca="false">H14*Inputs!$B$34*Inputs!$B$35</f>
        <v>167759110.352658</v>
      </c>
      <c r="J14" s="58" t="n">
        <f aca="false">MIN(I14,'Voyage Model'!$C$19)</f>
        <v>29991554.0540541</v>
      </c>
      <c r="K14" s="58" t="n">
        <f aca="false">MAX(0,I14-'Voyage Model'!$C$19)</f>
        <v>137767556.298604</v>
      </c>
      <c r="L14" s="63" t="n">
        <f aca="false">IF('Voyage Model'!$C$19=0,0,I14/'Voyage Model'!$C$19)</f>
        <v>5.59354510440853</v>
      </c>
      <c r="M14" s="58" t="n">
        <f aca="false">J14/(Inputs!$B$34*Inputs!$B$35)</f>
        <v>249929.617117117</v>
      </c>
      <c r="N14" s="58" t="n">
        <f aca="false">K14/(Inputs!$B$34*Inputs!$B$35)</f>
        <v>1148062.96915503</v>
      </c>
      <c r="O14" s="35" t="n">
        <f aca="false">MAX(0,'Voyage Model'!$C$19-I14)/Inputs!$B$33/1000</f>
        <v>0</v>
      </c>
    </row>
    <row r="15" customFormat="false" ht="15" hidden="false" customHeight="false" outlineLevel="0" collapsed="false">
      <c r="A15" s="62" t="n">
        <v>0.005</v>
      </c>
      <c r="B15" s="63" t="n">
        <f aca="false">L15</f>
        <v>6.17127864358966</v>
      </c>
      <c r="C15" s="35" t="n">
        <f aca="false">M15/1000/(IF(Inputs!$B$43="Per day",'Voyage Model'!$C$6,1))</f>
        <v>249.929617117117</v>
      </c>
      <c r="D15" s="35" t="n">
        <f aca="false">N15/1000/(IF(Inputs!$B$43="Per day",'Voyage Model'!$C$6,1))</f>
        <v>1292.45569139829</v>
      </c>
      <c r="E15" s="35" t="n">
        <f aca="false">O15/(IF(Inputs!$B$43="Per day",'Voyage Model'!$C$6,1))</f>
        <v>0</v>
      </c>
      <c r="G15" s="61" t="n">
        <f aca="false">1-(1-A15)^'Voyage Model'!$C$6</f>
        <v>0.138935607318997</v>
      </c>
      <c r="H15" s="58" t="n">
        <f aca="false">'Voyage Model'!$C$8*G15</f>
        <v>1542385.30851541</v>
      </c>
      <c r="I15" s="58" t="n">
        <f aca="false">H15*Inputs!$B$34*Inputs!$B$35</f>
        <v>185086237.021849</v>
      </c>
      <c r="J15" s="58" t="n">
        <f aca="false">MIN(I15,'Voyage Model'!$C$19)</f>
        <v>29991554.0540541</v>
      </c>
      <c r="K15" s="58" t="n">
        <f aca="false">MAX(0,I15-'Voyage Model'!$C$19)</f>
        <v>155094682.967795</v>
      </c>
      <c r="L15" s="63" t="n">
        <f aca="false">IF('Voyage Model'!$C$19=0,0,I15/'Voyage Model'!$C$19)</f>
        <v>6.17127864358966</v>
      </c>
      <c r="M15" s="58" t="n">
        <f aca="false">J15/(Inputs!$B$34*Inputs!$B$35)</f>
        <v>249929.617117117</v>
      </c>
      <c r="N15" s="58" t="n">
        <f aca="false">K15/(Inputs!$B$34*Inputs!$B$35)</f>
        <v>1292455.69139829</v>
      </c>
      <c r="O15" s="35" t="n">
        <f aca="false">MAX(0,'Voyage Model'!$C$19-I15)/Inputs!$B$33/1000</f>
        <v>0</v>
      </c>
    </row>
    <row r="16" customFormat="false" ht="15" hidden="false" customHeight="false" outlineLevel="0" collapsed="false">
      <c r="A16" s="62" t="n">
        <v>0.0055</v>
      </c>
      <c r="B16" s="63" t="n">
        <f aca="false">L16</f>
        <v>6.74069911472725</v>
      </c>
      <c r="C16" s="35" t="n">
        <f aca="false">M16/1000/(IF(Inputs!$B$43="Per day",'Voyage Model'!$C$6,1))</f>
        <v>249.929617117117</v>
      </c>
      <c r="D16" s="35" t="n">
        <f aca="false">N16/1000/(IF(Inputs!$B$43="Per day",'Voyage Model'!$C$6,1))</f>
        <v>1434.77073172836</v>
      </c>
      <c r="E16" s="35" t="n">
        <f aca="false">O16/(IF(Inputs!$B$43="Per day",'Voyage Model'!$C$6,1))</f>
        <v>0</v>
      </c>
      <c r="G16" s="61" t="n">
        <f aca="false">1-(1-A16)^'Voyage Model'!$C$6</f>
        <v>0.151755119051715</v>
      </c>
      <c r="H16" s="58" t="n">
        <f aca="false">'Voyage Model'!$C$8*G16</f>
        <v>1684700.34884547</v>
      </c>
      <c r="I16" s="58" t="n">
        <f aca="false">H16*Inputs!$B$34*Inputs!$B$35</f>
        <v>202164041.861457</v>
      </c>
      <c r="J16" s="58" t="n">
        <f aca="false">MIN(I16,'Voyage Model'!$C$19)</f>
        <v>29991554.0540541</v>
      </c>
      <c r="K16" s="58" t="n">
        <f aca="false">MAX(0,I16-'Voyage Model'!$C$19)</f>
        <v>172172487.807403</v>
      </c>
      <c r="L16" s="63" t="n">
        <f aca="false">IF('Voyage Model'!$C$19=0,0,I16/'Voyage Model'!$C$19)</f>
        <v>6.74069911472725</v>
      </c>
      <c r="M16" s="58" t="n">
        <f aca="false">J16/(Inputs!$B$34*Inputs!$B$35)</f>
        <v>249929.617117117</v>
      </c>
      <c r="N16" s="58" t="n">
        <f aca="false">K16/(Inputs!$B$34*Inputs!$B$35)</f>
        <v>1434770.73172836</v>
      </c>
      <c r="O16" s="35" t="n">
        <f aca="false">MAX(0,'Voyage Model'!$C$19-I16)/Inputs!$B$33/1000</f>
        <v>0</v>
      </c>
    </row>
    <row r="17" customFormat="false" ht="15" hidden="false" customHeight="false" outlineLevel="0" collapsed="false">
      <c r="A17" s="62" t="n">
        <v>0.006</v>
      </c>
      <c r="B17" s="63" t="n">
        <f aca="false">L17</f>
        <v>7.3019220458411</v>
      </c>
      <c r="C17" s="35" t="n">
        <f aca="false">M17/1000/(IF(Inputs!$B$43="Per day",'Voyage Model'!$C$6,1))</f>
        <v>249.929617117117</v>
      </c>
      <c r="D17" s="35" t="n">
        <f aca="false">N17/1000/(IF(Inputs!$B$43="Per day",'Voyage Model'!$C$6,1))</f>
        <v>1575.03696401899</v>
      </c>
      <c r="E17" s="35" t="n">
        <f aca="false">O17/(IF(Inputs!$B$43="Per day",'Voyage Model'!$C$6,1))</f>
        <v>0</v>
      </c>
      <c r="G17" s="61" t="n">
        <f aca="false">1-(1-A17)^'Voyage Model'!$C$6</f>
        <v>0.164390077425641</v>
      </c>
      <c r="H17" s="58" t="n">
        <f aca="false">'Voyage Model'!$C$8*G17</f>
        <v>1824966.5811361</v>
      </c>
      <c r="I17" s="58" t="n">
        <f aca="false">H17*Inputs!$B$34*Inputs!$B$35</f>
        <v>218995989.736332</v>
      </c>
      <c r="J17" s="58" t="n">
        <f aca="false">MIN(I17,'Voyage Model'!$C$19)</f>
        <v>29991554.0540541</v>
      </c>
      <c r="K17" s="58" t="n">
        <f aca="false">MAX(0,I17-'Voyage Model'!$C$19)</f>
        <v>189004435.682278</v>
      </c>
      <c r="L17" s="63" t="n">
        <f aca="false">IF('Voyage Model'!$C$19=0,0,I17/'Voyage Model'!$C$19)</f>
        <v>7.3019220458411</v>
      </c>
      <c r="M17" s="58" t="n">
        <f aca="false">J17/(Inputs!$B$34*Inputs!$B$35)</f>
        <v>249929.617117117</v>
      </c>
      <c r="N17" s="58" t="n">
        <f aca="false">K17/(Inputs!$B$34*Inputs!$B$35)</f>
        <v>1575036.96401899</v>
      </c>
      <c r="O17" s="35" t="n">
        <f aca="false">MAX(0,'Voyage Model'!$C$19-I17)/Inputs!$B$33/1000</f>
        <v>0</v>
      </c>
    </row>
    <row r="18" customFormat="false" ht="15" hidden="false" customHeight="false" outlineLevel="0" collapsed="false">
      <c r="A18" s="62" t="n">
        <v>0.0065</v>
      </c>
      <c r="B18" s="63" t="n">
        <f aca="false">L18</f>
        <v>7.85506141632978</v>
      </c>
      <c r="C18" s="35" t="n">
        <f aca="false">M18/1000/(IF(Inputs!$B$43="Per day",'Voyage Model'!$C$6,1))</f>
        <v>249.929617117117</v>
      </c>
      <c r="D18" s="35" t="n">
        <f aca="false">N18/1000/(IF(Inputs!$B$43="Per day",'Voyage Model'!$C$6,1))</f>
        <v>1713.28287509762</v>
      </c>
      <c r="E18" s="35" t="n">
        <f aca="false">O18/(IF(Inputs!$B$43="Per day",'Voyage Model'!$C$6,1))</f>
        <v>0</v>
      </c>
      <c r="G18" s="61" t="n">
        <f aca="false">1-(1-A18)^'Voyage Model'!$C$6</f>
        <v>0.176843048488731</v>
      </c>
      <c r="H18" s="58" t="n">
        <f aca="false">'Voyage Model'!$C$8*G18</f>
        <v>1963212.49221474</v>
      </c>
      <c r="I18" s="58" t="n">
        <f aca="false">H18*Inputs!$B$34*Inputs!$B$35</f>
        <v>235585499.065769</v>
      </c>
      <c r="J18" s="58" t="n">
        <f aca="false">MIN(I18,'Voyage Model'!$C$19)</f>
        <v>29991554.0540541</v>
      </c>
      <c r="K18" s="58" t="n">
        <f aca="false">MAX(0,I18-'Voyage Model'!$C$19)</f>
        <v>205593945.011715</v>
      </c>
      <c r="L18" s="63" t="n">
        <f aca="false">IF('Voyage Model'!$C$19=0,0,I18/'Voyage Model'!$C$19)</f>
        <v>7.85506141632978</v>
      </c>
      <c r="M18" s="58" t="n">
        <f aca="false">J18/(Inputs!$B$34*Inputs!$B$35)</f>
        <v>249929.617117117</v>
      </c>
      <c r="N18" s="58" t="n">
        <f aca="false">K18/(Inputs!$B$34*Inputs!$B$35)</f>
        <v>1713282.87509762</v>
      </c>
      <c r="O18" s="35" t="n">
        <f aca="false">MAX(0,'Voyage Model'!$C$19-I18)/Inputs!$B$33/1000</f>
        <v>0</v>
      </c>
    </row>
    <row r="19" customFormat="false" ht="15" hidden="false" customHeight="false" outlineLevel="0" collapsed="false">
      <c r="A19" s="62" t="n">
        <v>0.007</v>
      </c>
      <c r="B19" s="63" t="n">
        <f aca="false">L19</f>
        <v>8.40022967696707</v>
      </c>
      <c r="C19" s="35" t="n">
        <f aca="false">M19/1000/(IF(Inputs!$B$43="Per day",'Voyage Model'!$C$6,1))</f>
        <v>249.929617117117</v>
      </c>
      <c r="D19" s="35" t="n">
        <f aca="false">N19/1000/(IF(Inputs!$B$43="Per day",'Voyage Model'!$C$6,1))</f>
        <v>1849.53656974311</v>
      </c>
      <c r="E19" s="35" t="n">
        <f aca="false">O19/(IF(Inputs!$B$43="Per day",'Voyage Model'!$C$6,1))</f>
        <v>0</v>
      </c>
      <c r="G19" s="61" t="n">
        <f aca="false">1-(1-A19)^'Voyage Model'!$C$6</f>
        <v>0.189116563874617</v>
      </c>
      <c r="H19" s="58" t="n">
        <f aca="false">'Voyage Model'!$C$8*G19</f>
        <v>2099466.18686022</v>
      </c>
      <c r="I19" s="58" t="n">
        <f aca="false">H19*Inputs!$B$34*Inputs!$B$35</f>
        <v>251935942.423227</v>
      </c>
      <c r="J19" s="58" t="n">
        <f aca="false">MIN(I19,'Voyage Model'!$C$19)</f>
        <v>29991554.0540541</v>
      </c>
      <c r="K19" s="58" t="n">
        <f aca="false">MAX(0,I19-'Voyage Model'!$C$19)</f>
        <v>221944388.369173</v>
      </c>
      <c r="L19" s="63" t="n">
        <f aca="false">IF('Voyage Model'!$C$19=0,0,I19/'Voyage Model'!$C$19)</f>
        <v>8.40022967696707</v>
      </c>
      <c r="M19" s="58" t="n">
        <f aca="false">J19/(Inputs!$B$34*Inputs!$B$35)</f>
        <v>249929.617117117</v>
      </c>
      <c r="N19" s="58" t="n">
        <f aca="false">K19/(Inputs!$B$34*Inputs!$B$35)</f>
        <v>1849536.56974311</v>
      </c>
      <c r="O19" s="35" t="n">
        <f aca="false">MAX(0,'Voyage Model'!$C$19-I19)/Inputs!$B$33/1000</f>
        <v>0</v>
      </c>
    </row>
    <row r="20" customFormat="false" ht="15" hidden="false" customHeight="false" outlineLevel="0" collapsed="false">
      <c r="A20" s="62" t="n">
        <v>0.0075</v>
      </c>
      <c r="B20" s="63" t="n">
        <f aca="false">L20</f>
        <v>8.93753776964818</v>
      </c>
      <c r="C20" s="35" t="n">
        <f aca="false">M20/1000/(IF(Inputs!$B$43="Per day",'Voyage Model'!$C$6,1))</f>
        <v>249.929617117117</v>
      </c>
      <c r="D20" s="35" t="n">
        <f aca="false">N20/1000/(IF(Inputs!$B$43="Per day",'Voyage Model'!$C$6,1))</f>
        <v>1983.82577562082</v>
      </c>
      <c r="E20" s="35" t="n">
        <f aca="false">O20/(IF(Inputs!$B$43="Per day",'Voyage Model'!$C$6,1))</f>
        <v>0</v>
      </c>
      <c r="G20" s="61" t="n">
        <f aca="false">1-(1-A20)^'Voyage Model'!$C$6</f>
        <v>0.201213121247148</v>
      </c>
      <c r="H20" s="58" t="n">
        <f aca="false">'Voyage Model'!$C$8*G20</f>
        <v>2233755.39273794</v>
      </c>
      <c r="I20" s="58" t="n">
        <f aca="false">H20*Inputs!$B$34*Inputs!$B$35</f>
        <v>268050647.128553</v>
      </c>
      <c r="J20" s="58" t="n">
        <f aca="false">MIN(I20,'Voyage Model'!$C$19)</f>
        <v>29991554.0540541</v>
      </c>
      <c r="K20" s="58" t="n">
        <f aca="false">MAX(0,I20-'Voyage Model'!$C$19)</f>
        <v>238059093.074499</v>
      </c>
      <c r="L20" s="63" t="n">
        <f aca="false">IF('Voyage Model'!$C$19=0,0,I20/'Voyage Model'!$C$19)</f>
        <v>8.93753776964818</v>
      </c>
      <c r="M20" s="58" t="n">
        <f aca="false">J20/(Inputs!$B$34*Inputs!$B$35)</f>
        <v>249929.617117117</v>
      </c>
      <c r="N20" s="58" t="n">
        <f aca="false">K20/(Inputs!$B$34*Inputs!$B$35)</f>
        <v>1983825.77562082</v>
      </c>
      <c r="O20" s="35" t="n">
        <f aca="false">MAX(0,'Voyage Model'!$C$19-I20)/Inputs!$B$33/1000</f>
        <v>0</v>
      </c>
    </row>
    <row r="21" customFormat="false" ht="15" hidden="false" customHeight="false" outlineLevel="0" collapsed="false">
      <c r="A21" s="62" t="n">
        <v>0.008</v>
      </c>
      <c r="B21" s="63" t="n">
        <f aca="false">L21</f>
        <v>9.46709514689245</v>
      </c>
      <c r="C21" s="35" t="n">
        <f aca="false">M21/1000/(IF(Inputs!$B$43="Per day",'Voyage Model'!$C$6,1))</f>
        <v>249.929617117117</v>
      </c>
      <c r="D21" s="35" t="n">
        <f aca="false">N21/1000/(IF(Inputs!$B$43="Per day",'Voyage Model'!$C$6,1))</f>
        <v>2116.17784815703</v>
      </c>
      <c r="E21" s="35" t="n">
        <f aca="false">O21/(IF(Inputs!$B$43="Per day",'Voyage Model'!$C$6,1))</f>
        <v>0</v>
      </c>
      <c r="G21" s="61" t="n">
        <f aca="false">1-(1-A21)^'Voyage Model'!$C$6</f>
        <v>0.213135184739471</v>
      </c>
      <c r="H21" s="58" t="n">
        <f aca="false">'Voyage Model'!$C$8*G21</f>
        <v>2366107.46527415</v>
      </c>
      <c r="I21" s="58" t="n">
        <f aca="false">H21*Inputs!$B$34*Inputs!$B$35</f>
        <v>283932895.832898</v>
      </c>
      <c r="J21" s="58" t="n">
        <f aca="false">MIN(I21,'Voyage Model'!$C$19)</f>
        <v>29991554.0540541</v>
      </c>
      <c r="K21" s="58" t="n">
        <f aca="false">MAX(0,I21-'Voyage Model'!$C$19)</f>
        <v>253941341.778844</v>
      </c>
      <c r="L21" s="63" t="n">
        <f aca="false">IF('Voyage Model'!$C$19=0,0,I21/'Voyage Model'!$C$19)</f>
        <v>9.46709514689245</v>
      </c>
      <c r="M21" s="58" t="n">
        <f aca="false">J21/(Inputs!$B$34*Inputs!$B$35)</f>
        <v>249929.617117117</v>
      </c>
      <c r="N21" s="58" t="n">
        <f aca="false">K21/(Inputs!$B$34*Inputs!$B$35)</f>
        <v>2116177.84815703</v>
      </c>
      <c r="O21" s="35" t="n">
        <f aca="false">MAX(0,'Voyage Model'!$C$19-I21)/Inputs!$B$33/1000</f>
        <v>0</v>
      </c>
    </row>
    <row r="22" customFormat="false" ht="15" hidden="false" customHeight="false" outlineLevel="0" collapsed="false">
      <c r="A22" s="62" t="n">
        <v>0.0085</v>
      </c>
      <c r="B22" s="63" t="n">
        <f aca="false">L22</f>
        <v>9.98900979110187</v>
      </c>
      <c r="C22" s="35" t="n">
        <f aca="false">M22/1000/(IF(Inputs!$B$43="Per day",'Voyage Model'!$C$6,1))</f>
        <v>249.929617117117</v>
      </c>
      <c r="D22" s="35" t="n">
        <f aca="false">N22/1000/(IF(Inputs!$B$43="Per day",'Voyage Model'!$C$6,1))</f>
        <v>2246.61977535211</v>
      </c>
      <c r="E22" s="35" t="n">
        <f aca="false">O22/(IF(Inputs!$B$43="Per day",'Voyage Model'!$C$6,1))</f>
        <v>0</v>
      </c>
      <c r="G22" s="61" t="n">
        <f aca="false">1-(1-A22)^'Voyage Model'!$C$6</f>
        <v>0.224885185387592</v>
      </c>
      <c r="H22" s="58" t="n">
        <f aca="false">'Voyage Model'!$C$8*G22</f>
        <v>2496549.39246923</v>
      </c>
      <c r="I22" s="58" t="n">
        <f aca="false">H22*Inputs!$B$34*Inputs!$B$35</f>
        <v>299585927.096307</v>
      </c>
      <c r="J22" s="58" t="n">
        <f aca="false">MIN(I22,'Voyage Model'!$C$19)</f>
        <v>29991554.0540541</v>
      </c>
      <c r="K22" s="58" t="n">
        <f aca="false">MAX(0,I22-'Voyage Model'!$C$19)</f>
        <v>269594373.042253</v>
      </c>
      <c r="L22" s="63" t="n">
        <f aca="false">IF('Voyage Model'!$C$19=0,0,I22/'Voyage Model'!$C$19)</f>
        <v>9.98900979110187</v>
      </c>
      <c r="M22" s="58" t="n">
        <f aca="false">J22/(Inputs!$B$34*Inputs!$B$35)</f>
        <v>249929.617117117</v>
      </c>
      <c r="N22" s="58" t="n">
        <f aca="false">K22/(Inputs!$B$34*Inputs!$B$35)</f>
        <v>2246619.77535211</v>
      </c>
      <c r="O22" s="35" t="n">
        <f aca="false">MAX(0,'Voyage Model'!$C$19-I22)/Inputs!$B$33/1000</f>
        <v>0</v>
      </c>
    </row>
    <row r="23" customFormat="false" ht="15" hidden="false" customHeight="false" outlineLevel="0" collapsed="false">
      <c r="A23" s="62" t="n">
        <v>0.009</v>
      </c>
      <c r="B23" s="63" t="n">
        <f aca="false">L23</f>
        <v>10.5033882335818</v>
      </c>
      <c r="C23" s="35" t="n">
        <f aca="false">M23/1000/(IF(Inputs!$B$43="Per day",'Voyage Model'!$C$6,1))</f>
        <v>249.929617117117</v>
      </c>
      <c r="D23" s="35" t="n">
        <f aca="false">N23/1000/(IF(Inputs!$B$43="Per day",'Voyage Model'!$C$6,1))</f>
        <v>2375.17818253441</v>
      </c>
      <c r="E23" s="35" t="n">
        <f aca="false">O23/(IF(Inputs!$B$43="Per day",'Voyage Model'!$C$6,1))</f>
        <v>0</v>
      </c>
      <c r="G23" s="61" t="n">
        <f aca="false">1-(1-A23)^'Voyage Model'!$C$6</f>
        <v>0.236465521558602</v>
      </c>
      <c r="H23" s="58" t="n">
        <f aca="false">'Voyage Model'!$C$8*G23</f>
        <v>2625107.79965153</v>
      </c>
      <c r="I23" s="58" t="n">
        <f aca="false">H23*Inputs!$B$34*Inputs!$B$35</f>
        <v>315012935.958183</v>
      </c>
      <c r="J23" s="58" t="n">
        <f aca="false">MIN(I23,'Voyage Model'!$C$19)</f>
        <v>29991554.0540541</v>
      </c>
      <c r="K23" s="58" t="n">
        <f aca="false">MAX(0,I23-'Voyage Model'!$C$19)</f>
        <v>285021381.904129</v>
      </c>
      <c r="L23" s="63" t="n">
        <f aca="false">IF('Voyage Model'!$C$19=0,0,I23/'Voyage Model'!$C$19)</f>
        <v>10.5033882335818</v>
      </c>
      <c r="M23" s="58" t="n">
        <f aca="false">J23/(Inputs!$B$34*Inputs!$B$35)</f>
        <v>249929.617117117</v>
      </c>
      <c r="N23" s="58" t="n">
        <f aca="false">K23/(Inputs!$B$34*Inputs!$B$35)</f>
        <v>2375178.18253441</v>
      </c>
      <c r="O23" s="35" t="n">
        <f aca="false">MAX(0,'Voyage Model'!$C$19-I23)/Inputs!$B$33/1000</f>
        <v>0</v>
      </c>
    </row>
    <row r="24" customFormat="false" ht="15" hidden="false" customHeight="false" outlineLevel="0" collapsed="false">
      <c r="A24" s="62" t="n">
        <v>0.0095</v>
      </c>
      <c r="B24" s="63" t="n">
        <f aca="false">L24</f>
        <v>11.0103355733232</v>
      </c>
      <c r="C24" s="35" t="n">
        <f aca="false">M24/1000/(IF(Inputs!$B$43="Per day",'Voyage Model'!$C$6,1))</f>
        <v>249.929617117117</v>
      </c>
      <c r="D24" s="35" t="n">
        <f aca="false">N24/1000/(IF(Inputs!$B$43="Per day",'Voyage Model'!$C$6,1))</f>
        <v>2501.87933705451</v>
      </c>
      <c r="E24" s="35" t="n">
        <f aca="false">O24/(IF(Inputs!$B$43="Per day",'Voyage Model'!$C$6,1))</f>
        <v>0</v>
      </c>
      <c r="G24" s="61" t="n">
        <f aca="false">1-(1-A24)^'Voyage Model'!$C$6</f>
        <v>0.247878559373525</v>
      </c>
      <c r="H24" s="58" t="n">
        <f aca="false">'Voyage Model'!$C$8*G24</f>
        <v>2751808.95417163</v>
      </c>
      <c r="I24" s="58" t="n">
        <f aca="false">H24*Inputs!$B$34*Inputs!$B$35</f>
        <v>330217074.500596</v>
      </c>
      <c r="J24" s="58" t="n">
        <f aca="false">MIN(I24,'Voyage Model'!$C$19)</f>
        <v>29991554.0540541</v>
      </c>
      <c r="K24" s="58" t="n">
        <f aca="false">MAX(0,I24-'Voyage Model'!$C$19)</f>
        <v>300225520.446542</v>
      </c>
      <c r="L24" s="63" t="n">
        <f aca="false">IF('Voyage Model'!$C$19=0,0,I24/'Voyage Model'!$C$19)</f>
        <v>11.0103355733232</v>
      </c>
      <c r="M24" s="58" t="n">
        <f aca="false">J24/(Inputs!$B$34*Inputs!$B$35)</f>
        <v>249929.617117117</v>
      </c>
      <c r="N24" s="58" t="n">
        <f aca="false">K24/(Inputs!$B$34*Inputs!$B$35)</f>
        <v>2501879.33705451</v>
      </c>
      <c r="O24" s="35" t="n">
        <f aca="false">MAX(0,'Voyage Model'!$C$19-I24)/Inputs!$B$33/1000</f>
        <v>0</v>
      </c>
    </row>
    <row r="25" customFormat="false" ht="15" hidden="false" customHeight="false" outlineLevel="0" collapsed="false">
      <c r="A25" s="62" t="n">
        <v>0.01</v>
      </c>
      <c r="B25" s="63" t="n">
        <f aca="false">L25</f>
        <v>11.5099554955529</v>
      </c>
      <c r="C25" s="35" t="n">
        <f aca="false">M25/1000/(IF(Inputs!$B$43="Per day",'Voyage Model'!$C$6,1))</f>
        <v>249.929617117117</v>
      </c>
      <c r="D25" s="35" t="n">
        <f aca="false">N25/1000/(IF(Inputs!$B$43="Per day",'Voyage Model'!$C$6,1))</f>
        <v>2626.74915292148</v>
      </c>
      <c r="E25" s="35" t="n">
        <f aca="false">O25/(IF(Inputs!$B$43="Per day",'Voyage Model'!$C$6,1))</f>
        <v>0</v>
      </c>
      <c r="G25" s="61" t="n">
        <f aca="false">1-(1-A25)^'Voyage Model'!$C$6</f>
        <v>0.259126633124945</v>
      </c>
      <c r="H25" s="58" t="n">
        <f aca="false">'Voyage Model'!$C$8*G25</f>
        <v>2876678.77003859</v>
      </c>
      <c r="I25" s="58" t="n">
        <f aca="false">H25*Inputs!$B$34*Inputs!$B$35</f>
        <v>345201452.404631</v>
      </c>
      <c r="J25" s="58" t="n">
        <f aca="false">MIN(I25,'Voyage Model'!$C$19)</f>
        <v>29991554.0540541</v>
      </c>
      <c r="K25" s="58" t="n">
        <f aca="false">MAX(0,I25-'Voyage Model'!$C$19)</f>
        <v>315209898.350577</v>
      </c>
      <c r="L25" s="63" t="n">
        <f aca="false">IF('Voyage Model'!$C$19=0,0,I25/'Voyage Model'!$C$19)</f>
        <v>11.5099554955529</v>
      </c>
      <c r="M25" s="58" t="n">
        <f aca="false">J25/(Inputs!$B$34*Inputs!$B$35)</f>
        <v>249929.617117117</v>
      </c>
      <c r="N25" s="58" t="n">
        <f aca="false">K25/(Inputs!$B$34*Inputs!$B$35)</f>
        <v>2626749.15292148</v>
      </c>
      <c r="O25" s="35" t="n">
        <f aca="false">MAX(0,'Voyage Model'!$C$19-I25)/Inputs!$B$33/1000</f>
        <v>0</v>
      </c>
    </row>
    <row r="26" customFormat="false" ht="15" hidden="false" customHeight="false" outlineLevel="0" collapsed="false">
      <c r="A26" s="62" t="n">
        <v>0.0105</v>
      </c>
      <c r="B26" s="63" t="n">
        <f aca="false">L26</f>
        <v>12.0023502900512</v>
      </c>
      <c r="C26" s="35" t="n">
        <f aca="false">M26/1000/(IF(Inputs!$B$43="Per day",'Voyage Model'!$C$6,1))</f>
        <v>249.929617117117</v>
      </c>
      <c r="D26" s="35" t="n">
        <f aca="false">N26/1000/(IF(Inputs!$B$43="Per day",'Voyage Model'!$C$6,1))</f>
        <v>2749.81319538089</v>
      </c>
      <c r="E26" s="35" t="n">
        <f aca="false">O26/(IF(Inputs!$B$43="Per day",'Voyage Model'!$C$6,1))</f>
        <v>0</v>
      </c>
      <c r="G26" s="61" t="n">
        <f aca="false">1-(1-A26)^'Voyage Model'!$C$6</f>
        <v>0.270212045689389</v>
      </c>
      <c r="H26" s="58" t="n">
        <f aca="false">'Voyage Model'!$C$8*G26</f>
        <v>2999742.81249801</v>
      </c>
      <c r="I26" s="58" t="n">
        <f aca="false">H26*Inputs!$B$34*Inputs!$B$35</f>
        <v>359969137.499761</v>
      </c>
      <c r="J26" s="58" t="n">
        <f aca="false">MIN(I26,'Voyage Model'!$C$19)</f>
        <v>29991554.0540541</v>
      </c>
      <c r="K26" s="58" t="n">
        <f aca="false">MAX(0,I26-'Voyage Model'!$C$19)</f>
        <v>329977583.445707</v>
      </c>
      <c r="L26" s="63" t="n">
        <f aca="false">IF('Voyage Model'!$C$19=0,0,I26/'Voyage Model'!$C$19)</f>
        <v>12.0023502900512</v>
      </c>
      <c r="M26" s="58" t="n">
        <f aca="false">J26/(Inputs!$B$34*Inputs!$B$35)</f>
        <v>249929.617117117</v>
      </c>
      <c r="N26" s="58" t="n">
        <f aca="false">K26/(Inputs!$B$34*Inputs!$B$35)</f>
        <v>2749813.19538089</v>
      </c>
      <c r="O26" s="35" t="n">
        <f aca="false">MAX(0,'Voyage Model'!$C$19-I26)/Inputs!$B$33/1000</f>
        <v>0</v>
      </c>
    </row>
    <row r="27" customFormat="false" ht="15" hidden="false" customHeight="false" outlineLevel="0" collapsed="false">
      <c r="A27" s="62" t="n">
        <v>0.011</v>
      </c>
      <c r="B27" s="63" t="n">
        <f aca="false">L27</f>
        <v>12.4876208692424</v>
      </c>
      <c r="C27" s="35" t="n">
        <f aca="false">M27/1000/(IF(Inputs!$B$43="Per day",'Voyage Model'!$C$6,1))</f>
        <v>249.929617117117</v>
      </c>
      <c r="D27" s="35" t="n">
        <f aca="false">N27/1000/(IF(Inputs!$B$43="Per day",'Voyage Model'!$C$6,1))</f>
        <v>2871.09668543635</v>
      </c>
      <c r="E27" s="35" t="n">
        <f aca="false">O27/(IF(Inputs!$B$43="Per day",'Voyage Model'!$C$6,1))</f>
        <v>0</v>
      </c>
      <c r="G27" s="61" t="n">
        <f aca="false">1-(1-A27)^'Voyage Model'!$C$6</f>
        <v>0.281137068934613</v>
      </c>
      <c r="H27" s="58" t="n">
        <f aca="false">'Voyage Model'!$C$8*G27</f>
        <v>3121026.30255347</v>
      </c>
      <c r="I27" s="58" t="n">
        <f aca="false">H27*Inputs!$B$34*Inputs!$B$35</f>
        <v>374523156.306417</v>
      </c>
      <c r="J27" s="58" t="n">
        <f aca="false">MIN(I27,'Voyage Model'!$C$19)</f>
        <v>29991554.0540541</v>
      </c>
      <c r="K27" s="58" t="n">
        <f aca="false">MAX(0,I27-'Voyage Model'!$C$19)</f>
        <v>344531602.252363</v>
      </c>
      <c r="L27" s="63" t="n">
        <f aca="false">IF('Voyage Model'!$C$19=0,0,I27/'Voyage Model'!$C$19)</f>
        <v>12.4876208692424</v>
      </c>
      <c r="M27" s="58" t="n">
        <f aca="false">J27/(Inputs!$B$34*Inputs!$B$35)</f>
        <v>249929.617117117</v>
      </c>
      <c r="N27" s="58" t="n">
        <f aca="false">K27/(Inputs!$B$34*Inputs!$B$35)</f>
        <v>2871096.68543635</v>
      </c>
      <c r="O27" s="35" t="n">
        <f aca="false">MAX(0,'Voyage Model'!$C$19-I27)/Inputs!$B$33/1000</f>
        <v>0</v>
      </c>
    </row>
    <row r="28" customFormat="false" ht="15" hidden="false" customHeight="false" outlineLevel="0" collapsed="false">
      <c r="A28" s="62" t="n">
        <v>0.0115</v>
      </c>
      <c r="B28" s="63" t="n">
        <f aca="false">L28</f>
        <v>12.9658667860587</v>
      </c>
      <c r="C28" s="35" t="n">
        <f aca="false">M28/1000/(IF(Inputs!$B$43="Per day",'Voyage Model'!$C$6,1))</f>
        <v>249.929617117117</v>
      </c>
      <c r="D28" s="35" t="n">
        <f aca="false">N28/1000/(IF(Inputs!$B$43="Per day",'Voyage Model'!$C$6,1))</f>
        <v>2990.62450431408</v>
      </c>
      <c r="E28" s="35" t="n">
        <f aca="false">O28/(IF(Inputs!$B$43="Per day",'Voyage Model'!$C$6,1))</f>
        <v>0</v>
      </c>
      <c r="G28" s="61" t="n">
        <f aca="false">1-(1-A28)^'Voyage Model'!$C$6</f>
        <v>0.291903944121771</v>
      </c>
      <c r="H28" s="58" t="n">
        <f aca="false">'Voyage Model'!$C$8*G28</f>
        <v>3240554.12143119</v>
      </c>
      <c r="I28" s="58" t="n">
        <f aca="false">H28*Inputs!$B$34*Inputs!$B$35</f>
        <v>388866494.571743</v>
      </c>
      <c r="J28" s="58" t="n">
        <f aca="false">MIN(I28,'Voyage Model'!$C$19)</f>
        <v>29991554.0540541</v>
      </c>
      <c r="K28" s="58" t="n">
        <f aca="false">MAX(0,I28-'Voyage Model'!$C$19)</f>
        <v>358874940.517689</v>
      </c>
      <c r="L28" s="63" t="n">
        <f aca="false">IF('Voyage Model'!$C$19=0,0,I28/'Voyage Model'!$C$19)</f>
        <v>12.9658667860587</v>
      </c>
      <c r="M28" s="58" t="n">
        <f aca="false">J28/(Inputs!$B$34*Inputs!$B$35)</f>
        <v>249929.617117117</v>
      </c>
      <c r="N28" s="58" t="n">
        <f aca="false">K28/(Inputs!$B$34*Inputs!$B$35)</f>
        <v>2990624.50431407</v>
      </c>
      <c r="O28" s="35" t="n">
        <f aca="false">MAX(0,'Voyage Model'!$C$19-I28)/Inputs!$B$33/1000</f>
        <v>0</v>
      </c>
    </row>
    <row r="29" customFormat="false" ht="15" hidden="false" customHeight="false" outlineLevel="0" collapsed="false">
      <c r="A29" s="62" t="n">
        <v>0.012</v>
      </c>
      <c r="B29" s="63" t="n">
        <f aca="false">L29</f>
        <v>13.4371862515825</v>
      </c>
      <c r="C29" s="35" t="n">
        <f aca="false">M29/1000/(IF(Inputs!$B$43="Per day",'Voyage Model'!$C$6,1))</f>
        <v>249.929617117117</v>
      </c>
      <c r="D29" s="35" t="n">
        <f aca="false">N29/1000/(IF(Inputs!$B$43="Per day",'Voyage Model'!$C$6,1))</f>
        <v>3108.42119787228</v>
      </c>
      <c r="E29" s="35" t="n">
        <f aca="false">O29/(IF(Inputs!$B$43="Per day",'Voyage Model'!$C$6,1))</f>
        <v>0</v>
      </c>
      <c r="G29" s="61" t="n">
        <f aca="false">1-(1-A29)^'Voyage Model'!$C$6</f>
        <v>0.302514882302602</v>
      </c>
      <c r="H29" s="58" t="n">
        <f aca="false">'Voyage Model'!$C$8*G29</f>
        <v>3358350.8149894</v>
      </c>
      <c r="I29" s="58" t="n">
        <f aca="false">H29*Inputs!$B$34*Inputs!$B$35</f>
        <v>403002097.798728</v>
      </c>
      <c r="J29" s="58" t="n">
        <f aca="false">MIN(I29,'Voyage Model'!$C$19)</f>
        <v>29991554.0540541</v>
      </c>
      <c r="K29" s="58" t="n">
        <f aca="false">MAX(0,I29-'Voyage Model'!$C$19)</f>
        <v>373010543.744674</v>
      </c>
      <c r="L29" s="63" t="n">
        <f aca="false">IF('Voyage Model'!$C$19=0,0,I29/'Voyage Model'!$C$19)</f>
        <v>13.4371862515825</v>
      </c>
      <c r="M29" s="58" t="n">
        <f aca="false">J29/(Inputs!$B$34*Inputs!$B$35)</f>
        <v>249929.617117117</v>
      </c>
      <c r="N29" s="58" t="n">
        <f aca="false">K29/(Inputs!$B$34*Inputs!$B$35)</f>
        <v>3108421.19787228</v>
      </c>
      <c r="O29" s="35" t="n">
        <f aca="false">MAX(0,'Voyage Model'!$C$19-I29)/Inputs!$B$33/1000</f>
        <v>0</v>
      </c>
    </row>
    <row r="30" customFormat="false" ht="15" hidden="false" customHeight="false" outlineLevel="0" collapsed="false">
      <c r="A30" s="62" t="n">
        <v>0.0125</v>
      </c>
      <c r="B30" s="63" t="n">
        <f aca="false">L30</f>
        <v>13.9016761524671</v>
      </c>
      <c r="C30" s="35" t="n">
        <f aca="false">M30/1000/(IF(Inputs!$B$43="Per day",'Voyage Model'!$C$6,1))</f>
        <v>249.929617117117</v>
      </c>
      <c r="D30" s="35" t="n">
        <f aca="false">N30/1000/(IF(Inputs!$B$43="Per day",'Voyage Model'!$C$6,1))</f>
        <v>3224.51098095513</v>
      </c>
      <c r="E30" s="35" t="n">
        <f aca="false">O30/(IF(Inputs!$B$43="Per day",'Voyage Model'!$C$6,1))</f>
        <v>0</v>
      </c>
      <c r="G30" s="61" t="n">
        <f aca="false">1-(1-A30)^'Voyage Model'!$C$6</f>
        <v>0.312972064711627</v>
      </c>
      <c r="H30" s="58" t="n">
        <f aca="false">'Voyage Model'!$C$8*G30</f>
        <v>3474440.59807225</v>
      </c>
      <c r="I30" s="58" t="n">
        <f aca="false">H30*Inputs!$B$34*Inputs!$B$35</f>
        <v>416932871.76867</v>
      </c>
      <c r="J30" s="58" t="n">
        <f aca="false">MIN(I30,'Voyage Model'!$C$19)</f>
        <v>29991554.0540541</v>
      </c>
      <c r="K30" s="58" t="n">
        <f aca="false">MAX(0,I30-'Voyage Model'!$C$19)</f>
        <v>386941317.714616</v>
      </c>
      <c r="L30" s="63" t="n">
        <f aca="false">IF('Voyage Model'!$C$19=0,0,I30/'Voyage Model'!$C$19)</f>
        <v>13.9016761524671</v>
      </c>
      <c r="M30" s="58" t="n">
        <f aca="false">J30/(Inputs!$B$34*Inputs!$B$35)</f>
        <v>249929.617117117</v>
      </c>
      <c r="N30" s="58" t="n">
        <f aca="false">K30/(Inputs!$B$34*Inputs!$B$35)</f>
        <v>3224510.98095513</v>
      </c>
      <c r="O30" s="35" t="n">
        <f aca="false">MAX(0,'Voyage Model'!$C$19-I30)/Inputs!$B$33/1000</f>
        <v>0</v>
      </c>
    </row>
    <row r="31" customFormat="false" ht="15" hidden="false" customHeight="false" outlineLevel="0" collapsed="false">
      <c r="A31" s="62" t="n">
        <v>0.013</v>
      </c>
      <c r="B31" s="63" t="n">
        <f aca="false">L31</f>
        <v>14.3594320681412</v>
      </c>
      <c r="C31" s="35" t="n">
        <f aca="false">M31/1000/(IF(Inputs!$B$43="Per day",'Voyage Model'!$C$6,1))</f>
        <v>249.929617117117</v>
      </c>
      <c r="D31" s="35" t="n">
        <f aca="false">N31/1000/(IF(Inputs!$B$43="Per day",'Voyage Model'!$C$6,1))</f>
        <v>3338.91774169267</v>
      </c>
      <c r="E31" s="35" t="n">
        <f aca="false">O31/(IF(Inputs!$B$43="Per day",'Voyage Model'!$C$6,1))</f>
        <v>0</v>
      </c>
      <c r="G31" s="61" t="n">
        <f aca="false">1-(1-A31)^'Voyage Model'!$C$6</f>
        <v>0.323277643153482</v>
      </c>
      <c r="H31" s="58" t="n">
        <f aca="false">'Voyage Model'!$C$8*G31</f>
        <v>3588847.35880979</v>
      </c>
      <c r="I31" s="58" t="n">
        <f aca="false">H31*Inputs!$B$34*Inputs!$B$35</f>
        <v>430661683.057175</v>
      </c>
      <c r="J31" s="58" t="n">
        <f aca="false">MIN(I31,'Voyage Model'!$C$19)</f>
        <v>29991554.0540541</v>
      </c>
      <c r="K31" s="58" t="n">
        <f aca="false">MAX(0,I31-'Voyage Model'!$C$19)</f>
        <v>400670129.003121</v>
      </c>
      <c r="L31" s="63" t="n">
        <f aca="false">IF('Voyage Model'!$C$19=0,0,I31/'Voyage Model'!$C$19)</f>
        <v>14.3594320681412</v>
      </c>
      <c r="M31" s="58" t="n">
        <f aca="false">J31/(Inputs!$B$34*Inputs!$B$35)</f>
        <v>249929.617117117</v>
      </c>
      <c r="N31" s="58" t="n">
        <f aca="false">K31/(Inputs!$B$34*Inputs!$B$35)</f>
        <v>3338917.74169267</v>
      </c>
      <c r="O31" s="35" t="n">
        <f aca="false">MAX(0,'Voyage Model'!$C$19-I31)/Inputs!$B$33/1000</f>
        <v>0</v>
      </c>
    </row>
    <row r="32" customFormat="false" ht="15" hidden="false" customHeight="false" outlineLevel="0" collapsed="false">
      <c r="A32" s="62" t="n">
        <v>0.0135</v>
      </c>
      <c r="B32" s="63" t="n">
        <f aca="false">L32</f>
        <v>14.8105482877975</v>
      </c>
      <c r="C32" s="35" t="n">
        <f aca="false">M32/1000/(IF(Inputs!$B$43="Per day",'Voyage Model'!$C$6,1))</f>
        <v>249.929617117117</v>
      </c>
      <c r="D32" s="35" t="n">
        <f aca="false">N32/1000/(IF(Inputs!$B$43="Per day",'Voyage Model'!$C$6,1))</f>
        <v>3451.6650457467</v>
      </c>
      <c r="E32" s="35" t="n">
        <f aca="false">O32/(IF(Inputs!$B$43="Per day",'Voyage Model'!$C$6,1))</f>
        <v>0</v>
      </c>
      <c r="G32" s="61" t="n">
        <f aca="false">1-(1-A32)^'Voyage Model'!$C$6</f>
        <v>0.333433740385375</v>
      </c>
      <c r="H32" s="58" t="n">
        <f aca="false">'Voyage Model'!$C$8*G32</f>
        <v>3701594.66286381</v>
      </c>
      <c r="I32" s="58" t="n">
        <f aca="false">H32*Inputs!$B$34*Inputs!$B$35</f>
        <v>444191359.543658</v>
      </c>
      <c r="J32" s="58" t="n">
        <f aca="false">MIN(I32,'Voyage Model'!$C$19)</f>
        <v>29991554.0540541</v>
      </c>
      <c r="K32" s="58" t="n">
        <f aca="false">MAX(0,I32-'Voyage Model'!$C$19)</f>
        <v>414199805.489603</v>
      </c>
      <c r="L32" s="63" t="n">
        <f aca="false">IF('Voyage Model'!$C$19=0,0,I32/'Voyage Model'!$C$19)</f>
        <v>14.8105482877975</v>
      </c>
      <c r="M32" s="58" t="n">
        <f aca="false">J32/(Inputs!$B$34*Inputs!$B$35)</f>
        <v>249929.617117117</v>
      </c>
      <c r="N32" s="58" t="n">
        <f aca="false">K32/(Inputs!$B$34*Inputs!$B$35)</f>
        <v>3451665.0457467</v>
      </c>
      <c r="O32" s="35" t="n">
        <f aca="false">MAX(0,'Voyage Model'!$C$19-I32)/Inputs!$B$33/1000</f>
        <v>0</v>
      </c>
    </row>
    <row r="33" customFormat="false" ht="15" hidden="false" customHeight="false" outlineLevel="0" collapsed="false">
      <c r="A33" s="62" t="n">
        <v>0.014</v>
      </c>
      <c r="B33" s="63" t="n">
        <f aca="false">L33</f>
        <v>15.2551178271696</v>
      </c>
      <c r="C33" s="35" t="n">
        <f aca="false">M33/1000/(IF(Inputs!$B$43="Per day",'Voyage Model'!$C$6,1))</f>
        <v>249.929617117117</v>
      </c>
      <c r="D33" s="35" t="n">
        <f aca="false">N33/1000/(IF(Inputs!$B$43="Per day",'Voyage Model'!$C$6,1))</f>
        <v>3562.7761405039</v>
      </c>
      <c r="E33" s="35" t="n">
        <f aca="false">O33/(IF(Inputs!$B$43="Per day",'Voyage Model'!$C$6,1))</f>
        <v>0</v>
      </c>
      <c r="G33" s="61" t="n">
        <f aca="false">1-(1-A33)^'Voyage Model'!$C$6</f>
        <v>0.343442450494802</v>
      </c>
      <c r="H33" s="58" t="n">
        <f aca="false">'Voyage Model'!$C$8*G33</f>
        <v>3812705.75762102</v>
      </c>
      <c r="I33" s="58" t="n">
        <f aca="false">H33*Inputs!$B$34*Inputs!$B$35</f>
        <v>457524690.914522</v>
      </c>
      <c r="J33" s="58" t="n">
        <f aca="false">MIN(I33,'Voyage Model'!$C$19)</f>
        <v>29991554.0540541</v>
      </c>
      <c r="K33" s="58" t="n">
        <f aca="false">MAX(0,I33-'Voyage Model'!$C$19)</f>
        <v>427533136.860468</v>
      </c>
      <c r="L33" s="63" t="n">
        <f aca="false">IF('Voyage Model'!$C$19=0,0,I33/'Voyage Model'!$C$19)</f>
        <v>15.2551178271696</v>
      </c>
      <c r="M33" s="58" t="n">
        <f aca="false">J33/(Inputs!$B$34*Inputs!$B$35)</f>
        <v>249929.617117117</v>
      </c>
      <c r="N33" s="58" t="n">
        <f aca="false">K33/(Inputs!$B$34*Inputs!$B$35)</f>
        <v>3562776.1405039</v>
      </c>
      <c r="O33" s="35" t="n">
        <f aca="false">MAX(0,'Voyage Model'!$C$19-I33)/Inputs!$B$33/1000</f>
        <v>0</v>
      </c>
    </row>
    <row r="34" customFormat="false" ht="15" hidden="false" customHeight="false" outlineLevel="0" collapsed="false">
      <c r="A34" s="62" t="n">
        <v>0.0145</v>
      </c>
      <c r="B34" s="63" t="n">
        <f aca="false">L34</f>
        <v>15.6932324450983</v>
      </c>
      <c r="C34" s="35" t="n">
        <f aca="false">M34/1000/(IF(Inputs!$B$43="Per day",'Voyage Model'!$C$6,1))</f>
        <v>249.929617117117</v>
      </c>
      <c r="D34" s="35" t="n">
        <f aca="false">N34/1000/(IF(Inputs!$B$43="Per day",'Voyage Model'!$C$6,1))</f>
        <v>3672.27395921623</v>
      </c>
      <c r="E34" s="35" t="n">
        <f aca="false">O34/(IF(Inputs!$B$43="Per day",'Voyage Model'!$C$6,1))</f>
        <v>0</v>
      </c>
      <c r="G34" s="61" t="n">
        <f aca="false">1-(1-A34)^'Voyage Model'!$C$6</f>
        <v>0.353305839272504</v>
      </c>
      <c r="H34" s="58" t="n">
        <f aca="false">'Voyage Model'!$C$8*G34</f>
        <v>3922203.57633334</v>
      </c>
      <c r="I34" s="58" t="n">
        <f aca="false">H34*Inputs!$B$34*Inputs!$B$35</f>
        <v>470664429.160001</v>
      </c>
      <c r="J34" s="58" t="n">
        <f aca="false">MIN(I34,'Voyage Model'!$C$19)</f>
        <v>29991554.0540541</v>
      </c>
      <c r="K34" s="58" t="n">
        <f aca="false">MAX(0,I34-'Voyage Model'!$C$19)</f>
        <v>440672875.105947</v>
      </c>
      <c r="L34" s="63" t="n">
        <f aca="false">IF('Voyage Model'!$C$19=0,0,I34/'Voyage Model'!$C$19)</f>
        <v>15.6932324450983</v>
      </c>
      <c r="M34" s="58" t="n">
        <f aca="false">J34/(Inputs!$B$34*Inputs!$B$35)</f>
        <v>249929.617117117</v>
      </c>
      <c r="N34" s="58" t="n">
        <f aca="false">K34/(Inputs!$B$34*Inputs!$B$35)</f>
        <v>3672273.95921623</v>
      </c>
      <c r="O34" s="35" t="n">
        <f aca="false">MAX(0,'Voyage Model'!$C$19-I34)/Inputs!$B$33/1000</f>
        <v>0</v>
      </c>
    </row>
    <row r="35" customFormat="false" ht="15" hidden="false" customHeight="false" outlineLevel="0" collapsed="false">
      <c r="A35" s="62" t="n">
        <v>0.015</v>
      </c>
      <c r="B35" s="63" t="n">
        <f aca="false">L35</f>
        <v>16.1249826598918</v>
      </c>
      <c r="C35" s="35" t="n">
        <f aca="false">M35/1000/(IF(Inputs!$B$43="Per day",'Voyage Model'!$C$6,1))</f>
        <v>249.929617117117</v>
      </c>
      <c r="D35" s="35" t="n">
        <f aca="false">N35/1000/(IF(Inputs!$B$43="Per day",'Voyage Model'!$C$6,1))</f>
        <v>3780.18112508978</v>
      </c>
      <c r="E35" s="35" t="n">
        <f aca="false">O35/(IF(Inputs!$B$43="Per day",'Voyage Model'!$C$6,1))</f>
        <v>0</v>
      </c>
      <c r="G35" s="61" t="n">
        <f aca="false">1-(1-A35)^'Voyage Model'!$C$6</f>
        <v>0.363025944580784</v>
      </c>
      <c r="H35" s="58" t="n">
        <f aca="false">'Voyage Model'!$C$8*G35</f>
        <v>4030110.7422069</v>
      </c>
      <c r="I35" s="58" t="n">
        <f aca="false">H35*Inputs!$B$34*Inputs!$B$35</f>
        <v>483613289.064828</v>
      </c>
      <c r="J35" s="58" t="n">
        <f aca="false">MIN(I35,'Voyage Model'!$C$19)</f>
        <v>29991554.0540541</v>
      </c>
      <c r="K35" s="58" t="n">
        <f aca="false">MAX(0,I35-'Voyage Model'!$C$19)</f>
        <v>453621735.010774</v>
      </c>
      <c r="L35" s="63" t="n">
        <f aca="false">IF('Voyage Model'!$C$19=0,0,I35/'Voyage Model'!$C$19)</f>
        <v>16.1249826598918</v>
      </c>
      <c r="M35" s="58" t="n">
        <f aca="false">J35/(Inputs!$B$34*Inputs!$B$35)</f>
        <v>249929.617117117</v>
      </c>
      <c r="N35" s="58" t="n">
        <f aca="false">K35/(Inputs!$B$34*Inputs!$B$35)</f>
        <v>3780181.12508978</v>
      </c>
      <c r="O35" s="35" t="n">
        <f aca="false">MAX(0,'Voyage Model'!$C$19-I35)/Inputs!$B$33/1000</f>
        <v>0</v>
      </c>
    </row>
    <row r="36" customFormat="false" ht="15" hidden="false" customHeight="false" outlineLevel="0" collapsed="false">
      <c r="A36" s="62" t="n">
        <v>0.0155</v>
      </c>
      <c r="B36" s="63" t="n">
        <f aca="false">L36</f>
        <v>16.5504577654795</v>
      </c>
      <c r="C36" s="35" t="n">
        <f aca="false">M36/1000/(IF(Inputs!$B$43="Per day",'Voyage Model'!$C$6,1))</f>
        <v>249.929617117117</v>
      </c>
      <c r="D36" s="35" t="n">
        <f aca="false">N36/1000/(IF(Inputs!$B$43="Per day",'Voyage Model'!$C$6,1))</f>
        <v>3886.51995532219</v>
      </c>
      <c r="E36" s="35" t="n">
        <f aca="false">O36/(IF(Inputs!$B$43="Per day",'Voyage Model'!$C$6,1))</f>
        <v>0</v>
      </c>
      <c r="G36" s="61" t="n">
        <f aca="false">1-(1-A36)^'Voyage Model'!$C$6</f>
        <v>0.372604776717192</v>
      </c>
      <c r="H36" s="58" t="n">
        <f aca="false">'Voyage Model'!$C$8*G36</f>
        <v>4136449.57243931</v>
      </c>
      <c r="I36" s="58" t="n">
        <f aca="false">H36*Inputs!$B$34*Inputs!$B$35</f>
        <v>496373948.692717</v>
      </c>
      <c r="J36" s="58" t="n">
        <f aca="false">MIN(I36,'Voyage Model'!$C$19)</f>
        <v>29991554.0540541</v>
      </c>
      <c r="K36" s="58" t="n">
        <f aca="false">MAX(0,I36-'Voyage Model'!$C$19)</f>
        <v>466382394.638663</v>
      </c>
      <c r="L36" s="63" t="n">
        <f aca="false">IF('Voyage Model'!$C$19=0,0,I36/'Voyage Model'!$C$19)</f>
        <v>16.5504577654795</v>
      </c>
      <c r="M36" s="58" t="n">
        <f aca="false">J36/(Inputs!$B$34*Inputs!$B$35)</f>
        <v>249929.617117117</v>
      </c>
      <c r="N36" s="58" t="n">
        <f aca="false">K36/(Inputs!$B$34*Inputs!$B$35)</f>
        <v>3886519.95532219</v>
      </c>
      <c r="O36" s="35" t="n">
        <f aca="false">MAX(0,'Voyage Model'!$C$19-I36)/Inputs!$B$33/1000</f>
        <v>0</v>
      </c>
    </row>
    <row r="37" customFormat="false" ht="15" hidden="false" customHeight="false" outlineLevel="0" collapsed="false">
      <c r="A37" s="62" t="n">
        <v>0.016</v>
      </c>
      <c r="B37" s="63" t="n">
        <f aca="false">L37</f>
        <v>16.9697458473655</v>
      </c>
      <c r="C37" s="35" t="n">
        <f aca="false">M37/1000/(IF(Inputs!$B$43="Per day",'Voyage Model'!$C$6,1))</f>
        <v>249.929617117117</v>
      </c>
      <c r="D37" s="35" t="n">
        <f aca="false">N37/1000/(IF(Inputs!$B$43="Per day",'Voyage Model'!$C$6,1))</f>
        <v>3991.31246508974</v>
      </c>
      <c r="E37" s="35" t="n">
        <f aca="false">O37/(IF(Inputs!$B$43="Per day",'Voyage Model'!$C$6,1))</f>
        <v>0</v>
      </c>
      <c r="G37" s="61" t="n">
        <f aca="false">1-(1-A37)^'Voyage Model'!$C$6</f>
        <v>0.382044318773678</v>
      </c>
      <c r="H37" s="58" t="n">
        <f aca="false">'Voyage Model'!$C$8*G37</f>
        <v>4241242.08220686</v>
      </c>
      <c r="I37" s="58" t="n">
        <f aca="false">H37*Inputs!$B$34*Inputs!$B$35</f>
        <v>508949049.864823</v>
      </c>
      <c r="J37" s="58" t="n">
        <f aca="false">MIN(I37,'Voyage Model'!$C$19)</f>
        <v>29991554.0540541</v>
      </c>
      <c r="K37" s="58" t="n">
        <f aca="false">MAX(0,I37-'Voyage Model'!$C$19)</f>
        <v>478957495.810769</v>
      </c>
      <c r="L37" s="63" t="n">
        <f aca="false">IF('Voyage Model'!$C$19=0,0,I37/'Voyage Model'!$C$19)</f>
        <v>16.9697458473655</v>
      </c>
      <c r="M37" s="58" t="n">
        <f aca="false">J37/(Inputs!$B$34*Inputs!$B$35)</f>
        <v>249929.617117117</v>
      </c>
      <c r="N37" s="58" t="n">
        <f aca="false">K37/(Inputs!$B$34*Inputs!$B$35)</f>
        <v>3991312.46508974</v>
      </c>
      <c r="O37" s="35" t="n">
        <f aca="false">MAX(0,'Voyage Model'!$C$19-I37)/Inputs!$B$33/1000</f>
        <v>0</v>
      </c>
    </row>
    <row r="38" customFormat="false" ht="15" hidden="false" customHeight="false" outlineLevel="0" collapsed="false">
      <c r="A38" s="62" t="n">
        <v>0.0165</v>
      </c>
      <c r="B38" s="63" t="n">
        <f aca="false">L38</f>
        <v>17.3829337983801</v>
      </c>
      <c r="C38" s="35" t="n">
        <f aca="false">M38/1000/(IF(Inputs!$B$43="Per day",'Voyage Model'!$C$6,1))</f>
        <v>249.929617117117</v>
      </c>
      <c r="D38" s="35" t="n">
        <f aca="false">N38/1000/(IF(Inputs!$B$43="Per day",'Voyage Model'!$C$6,1))</f>
        <v>4094.58037148422</v>
      </c>
      <c r="E38" s="35" t="n">
        <f aca="false">O38/(IF(Inputs!$B$43="Per day",'Voyage Model'!$C$6,1))</f>
        <v>0</v>
      </c>
      <c r="G38" s="61" t="n">
        <f aca="false">1-(1-A38)^'Voyage Model'!$C$6</f>
        <v>0.391346526991214</v>
      </c>
      <c r="H38" s="58" t="n">
        <f aca="false">'Voyage Model'!$C$8*G38</f>
        <v>4344509.98860134</v>
      </c>
      <c r="I38" s="58" t="n">
        <f aca="false">H38*Inputs!$B$34*Inputs!$B$35</f>
        <v>521341198.632161</v>
      </c>
      <c r="J38" s="58" t="n">
        <f aca="false">MIN(I38,'Voyage Model'!$C$19)</f>
        <v>29991554.0540541</v>
      </c>
      <c r="K38" s="58" t="n">
        <f aca="false">MAX(0,I38-'Voyage Model'!$C$19)</f>
        <v>491349644.578107</v>
      </c>
      <c r="L38" s="63" t="n">
        <f aca="false">IF('Voyage Model'!$C$19=0,0,I38/'Voyage Model'!$C$19)</f>
        <v>17.3829337983801</v>
      </c>
      <c r="M38" s="58" t="n">
        <f aca="false">J38/(Inputs!$B$34*Inputs!$B$35)</f>
        <v>249929.617117117</v>
      </c>
      <c r="N38" s="58" t="n">
        <f aca="false">K38/(Inputs!$B$34*Inputs!$B$35)</f>
        <v>4094580.37148422</v>
      </c>
      <c r="O38" s="35" t="n">
        <f aca="false">MAX(0,'Voyage Model'!$C$19-I38)/Inputs!$B$33/1000</f>
        <v>0</v>
      </c>
    </row>
    <row r="39" customFormat="false" ht="15" hidden="false" customHeight="false" outlineLevel="0" collapsed="false">
      <c r="A39" s="62" t="n">
        <v>0.017</v>
      </c>
      <c r="B39" s="63" t="n">
        <f aca="false">L39</f>
        <v>17.7901073342355</v>
      </c>
      <c r="C39" s="35" t="n">
        <f aca="false">M39/1000/(IF(Inputs!$B$43="Per day",'Voyage Model'!$C$6,1))</f>
        <v>249.929617117117</v>
      </c>
      <c r="D39" s="35" t="n">
        <f aca="false">N39/1000/(IF(Inputs!$B$43="Per day",'Voyage Model'!$C$6,1))</f>
        <v>4196.34509740077</v>
      </c>
      <c r="E39" s="35" t="n">
        <f aca="false">O39/(IF(Inputs!$B$43="Per day",'Voyage Model'!$C$6,1))</f>
        <v>0</v>
      </c>
      <c r="G39" s="61" t="n">
        <f aca="false">1-(1-A39)^'Voyage Model'!$C$6</f>
        <v>0.400513331110008</v>
      </c>
      <c r="H39" s="58" t="n">
        <f aca="false">'Voyage Model'!$C$8*G39</f>
        <v>4446274.71451789</v>
      </c>
      <c r="I39" s="58" t="n">
        <f aca="false">H39*Inputs!$B$34*Inputs!$B$35</f>
        <v>533552965.742146</v>
      </c>
      <c r="J39" s="58" t="n">
        <f aca="false">MIN(I39,'Voyage Model'!$C$19)</f>
        <v>29991554.0540541</v>
      </c>
      <c r="K39" s="58" t="n">
        <f aca="false">MAX(0,I39-'Voyage Model'!$C$19)</f>
        <v>503561411.688092</v>
      </c>
      <c r="L39" s="63" t="n">
        <f aca="false">IF('Voyage Model'!$C$19=0,0,I39/'Voyage Model'!$C$19)</f>
        <v>17.7901073342355</v>
      </c>
      <c r="M39" s="58" t="n">
        <f aca="false">J39/(Inputs!$B$34*Inputs!$B$35)</f>
        <v>249929.617117117</v>
      </c>
      <c r="N39" s="58" t="n">
        <f aca="false">K39/(Inputs!$B$34*Inputs!$B$35)</f>
        <v>4196345.09740077</v>
      </c>
      <c r="O39" s="35" t="n">
        <f aca="false">MAX(0,'Voyage Model'!$C$19-I39)/Inputs!$B$33/1000</f>
        <v>0</v>
      </c>
    </row>
    <row r="40" customFormat="false" ht="15" hidden="false" customHeight="false" outlineLevel="0" collapsed="false">
      <c r="A40" s="62" t="n">
        <v>0.0175</v>
      </c>
      <c r="B40" s="63" t="n">
        <f aca="false">L40</f>
        <v>18.1913510088848</v>
      </c>
      <c r="C40" s="35" t="n">
        <f aca="false">M40/1000/(IF(Inputs!$B$43="Per day",'Voyage Model'!$C$6,1))</f>
        <v>249.929617117117</v>
      </c>
      <c r="D40" s="35" t="n">
        <f aca="false">N40/1000/(IF(Inputs!$B$43="Per day",'Voyage Model'!$C$6,1))</f>
        <v>4296.62777537654</v>
      </c>
      <c r="E40" s="35" t="n">
        <f aca="false">O40/(IF(Inputs!$B$43="Per day",'Voyage Model'!$C$6,1))</f>
        <v>0</v>
      </c>
      <c r="G40" s="61" t="n">
        <f aca="false">1-(1-A40)^'Voyage Model'!$C$6</f>
        <v>0.409546634715286</v>
      </c>
      <c r="H40" s="58" t="n">
        <f aca="false">'Voyage Model'!$C$8*G40</f>
        <v>4546557.39249366</v>
      </c>
      <c r="I40" s="58" t="n">
        <f aca="false">H40*Inputs!$B$34*Inputs!$B$35</f>
        <v>545586887.099239</v>
      </c>
      <c r="J40" s="58" t="n">
        <f aca="false">MIN(I40,'Voyage Model'!$C$19)</f>
        <v>29991554.0540541</v>
      </c>
      <c r="K40" s="58" t="n">
        <f aca="false">MAX(0,I40-'Voyage Model'!$C$19)</f>
        <v>515595333.045185</v>
      </c>
      <c r="L40" s="63" t="n">
        <f aca="false">IF('Voyage Model'!$C$19=0,0,I40/'Voyage Model'!$C$19)</f>
        <v>18.1913510088848</v>
      </c>
      <c r="M40" s="58" t="n">
        <f aca="false">J40/(Inputs!$B$34*Inputs!$B$35)</f>
        <v>249929.617117117</v>
      </c>
      <c r="N40" s="58" t="n">
        <f aca="false">K40/(Inputs!$B$34*Inputs!$B$35)</f>
        <v>4296627.77537654</v>
      </c>
      <c r="O40" s="35" t="n">
        <f aca="false">MAX(0,'Voyage Model'!$C$19-I40)/Inputs!$B$33/1000</f>
        <v>0</v>
      </c>
    </row>
    <row r="41" customFormat="false" ht="15" hidden="false" customHeight="false" outlineLevel="0" collapsed="false">
      <c r="A41" s="62" t="n">
        <v>0.018</v>
      </c>
      <c r="B41" s="63" t="n">
        <f aca="false">L41</f>
        <v>18.5867482296903</v>
      </c>
      <c r="C41" s="35" t="n">
        <f aca="false">M41/1000/(IF(Inputs!$B$43="Per day",'Voyage Model'!$C$6,1))</f>
        <v>249.929617117117</v>
      </c>
      <c r="D41" s="35" t="n">
        <f aca="false">N41/1000/(IF(Inputs!$B$43="Per day",'Voyage Model'!$C$6,1))</f>
        <v>4395.44925138163</v>
      </c>
      <c r="E41" s="35" t="n">
        <f aca="false">O41/(IF(Inputs!$B$43="Per day",'Voyage Model'!$C$6,1))</f>
        <v>0</v>
      </c>
      <c r="G41" s="61" t="n">
        <f aca="false">1-(1-A41)^'Voyage Model'!$C$6</f>
        <v>0.418448315578767</v>
      </c>
      <c r="H41" s="58" t="n">
        <f aca="false">'Voyage Model'!$C$8*G41</f>
        <v>4645378.86849874</v>
      </c>
      <c r="I41" s="58" t="n">
        <f aca="false">H41*Inputs!$B$34*Inputs!$B$35</f>
        <v>557445464.219849</v>
      </c>
      <c r="J41" s="58" t="n">
        <f aca="false">MIN(I41,'Voyage Model'!$C$19)</f>
        <v>29991554.0540541</v>
      </c>
      <c r="K41" s="58" t="n">
        <f aca="false">MAX(0,I41-'Voyage Model'!$C$19)</f>
        <v>527453910.165795</v>
      </c>
      <c r="L41" s="63" t="n">
        <f aca="false">IF('Voyage Model'!$C$19=0,0,I41/'Voyage Model'!$C$19)</f>
        <v>18.5867482296903</v>
      </c>
      <c r="M41" s="58" t="n">
        <f aca="false">J41/(Inputs!$B$34*Inputs!$B$35)</f>
        <v>249929.617117117</v>
      </c>
      <c r="N41" s="58" t="n">
        <f aca="false">K41/(Inputs!$B$34*Inputs!$B$35)</f>
        <v>4395449.25138163</v>
      </c>
      <c r="O41" s="35" t="n">
        <f aca="false">MAX(0,'Voyage Model'!$C$19-I41)/Inputs!$B$33/1000</f>
        <v>0</v>
      </c>
    </row>
    <row r="42" customFormat="false" ht="15" hidden="false" customHeight="false" outlineLevel="0" collapsed="false">
      <c r="A42" s="62" t="n">
        <v>0.0185</v>
      </c>
      <c r="B42" s="63" t="n">
        <f aca="false">L42</f>
        <v>18.9763812723989</v>
      </c>
      <c r="C42" s="35" t="n">
        <f aca="false">M42/1000/(IF(Inputs!$B$43="Per day",'Voyage Model'!$C$6,1))</f>
        <v>249.929617117117</v>
      </c>
      <c r="D42" s="35" t="n">
        <f aca="false">N42/1000/(IF(Inputs!$B$43="Per day",'Voyage Model'!$C$6,1))</f>
        <v>4492.83008856197</v>
      </c>
      <c r="E42" s="35" t="n">
        <f aca="false">O42/(IF(Inputs!$B$43="Per day",'Voyage Model'!$C$6,1))</f>
        <v>0</v>
      </c>
      <c r="G42" s="61" t="n">
        <f aca="false">1-(1-A42)^'Voyage Model'!$C$6</f>
        <v>0.427220225995824</v>
      </c>
      <c r="H42" s="58" t="n">
        <f aca="false">'Voyage Model'!$C$8*G42</f>
        <v>4742759.70567908</v>
      </c>
      <c r="I42" s="58" t="n">
        <f aca="false">H42*Inputs!$B$34*Inputs!$B$35</f>
        <v>569131164.68149</v>
      </c>
      <c r="J42" s="58" t="n">
        <f aca="false">MIN(I42,'Voyage Model'!$C$19)</f>
        <v>29991554.0540541</v>
      </c>
      <c r="K42" s="58" t="n">
        <f aca="false">MAX(0,I42-'Voyage Model'!$C$19)</f>
        <v>539139610.627436</v>
      </c>
      <c r="L42" s="63" t="n">
        <f aca="false">IF('Voyage Model'!$C$19=0,0,I42/'Voyage Model'!$C$19)</f>
        <v>18.9763812723989</v>
      </c>
      <c r="M42" s="58" t="n">
        <f aca="false">J42/(Inputs!$B$34*Inputs!$B$35)</f>
        <v>249929.617117117</v>
      </c>
      <c r="N42" s="58" t="n">
        <f aca="false">K42/(Inputs!$B$34*Inputs!$B$35)</f>
        <v>4492830.08856196</v>
      </c>
      <c r="O42" s="35" t="n">
        <f aca="false">MAX(0,'Voyage Model'!$C$19-I42)/Inputs!$B$33/1000</f>
        <v>0</v>
      </c>
    </row>
    <row r="43" customFormat="false" ht="15" hidden="false" customHeight="false" outlineLevel="0" collapsed="false">
      <c r="A43" s="62" t="n">
        <v>0.019</v>
      </c>
      <c r="B43" s="63" t="n">
        <f aca="false">L43</f>
        <v>19.3603312959316</v>
      </c>
      <c r="C43" s="35" t="n">
        <f aca="false">M43/1000/(IF(Inputs!$B$43="Per day",'Voyage Model'!$C$6,1))</f>
        <v>249.929617117117</v>
      </c>
      <c r="D43" s="35" t="n">
        <f aca="false">N43/1000/(IF(Inputs!$B$43="Per day",'Voyage Model'!$C$6,1))</f>
        <v>4588.7905709356</v>
      </c>
      <c r="E43" s="35" t="n">
        <f aca="false">O43/(IF(Inputs!$B$43="Per day",'Voyage Model'!$C$6,1))</f>
        <v>0</v>
      </c>
      <c r="G43" s="61" t="n">
        <f aca="false">1-(1-A43)^'Voyage Model'!$C$6</f>
        <v>0.435864193118435</v>
      </c>
      <c r="H43" s="58" t="n">
        <f aca="false">'Voyage Model'!$C$8*G43</f>
        <v>4838720.18805272</v>
      </c>
      <c r="I43" s="58" t="n">
        <f aca="false">H43*Inputs!$B$34*Inputs!$B$35</f>
        <v>580646422.566326</v>
      </c>
      <c r="J43" s="58" t="n">
        <f aca="false">MIN(I43,'Voyage Model'!$C$19)</f>
        <v>29991554.0540541</v>
      </c>
      <c r="K43" s="58" t="n">
        <f aca="false">MAX(0,I43-'Voyage Model'!$C$19)</f>
        <v>550654868.512272</v>
      </c>
      <c r="L43" s="63" t="n">
        <f aca="false">IF('Voyage Model'!$C$19=0,0,I43/'Voyage Model'!$C$19)</f>
        <v>19.3603312959316</v>
      </c>
      <c r="M43" s="58" t="n">
        <f aca="false">J43/(Inputs!$B$34*Inputs!$B$35)</f>
        <v>249929.617117117</v>
      </c>
      <c r="N43" s="58" t="n">
        <f aca="false">K43/(Inputs!$B$34*Inputs!$B$35)</f>
        <v>4588790.5709356</v>
      </c>
      <c r="O43" s="35" t="n">
        <f aca="false">MAX(0,'Voyage Model'!$C$19-I43)/Inputs!$B$33/1000</f>
        <v>0</v>
      </c>
    </row>
    <row r="44" customFormat="false" ht="15" hidden="false" customHeight="false" outlineLevel="0" collapsed="false">
      <c r="A44" s="62" t="n">
        <v>0.0195</v>
      </c>
      <c r="B44" s="63" t="n">
        <f aca="false">L44</f>
        <v>19.7386783569854</v>
      </c>
      <c r="C44" s="35" t="n">
        <f aca="false">M44/1000/(IF(Inputs!$B$43="Per day",'Voyage Model'!$C$6,1))</f>
        <v>249.929617117117</v>
      </c>
      <c r="D44" s="35" t="n">
        <f aca="false">N44/1000/(IF(Inputs!$B$43="Per day",'Voyage Model'!$C$6,1))</f>
        <v>4683.35070704216</v>
      </c>
      <c r="E44" s="35" t="n">
        <f aca="false">O44/(IF(Inputs!$B$43="Per day",'Voyage Model'!$C$6,1))</f>
        <v>0</v>
      </c>
      <c r="G44" s="61" t="n">
        <f aca="false">1-(1-A44)^'Voyage Model'!$C$6</f>
        <v>0.44438201928392</v>
      </c>
      <c r="H44" s="58" t="n">
        <f aca="false">'Voyage Model'!$C$8*G44</f>
        <v>4933280.32415928</v>
      </c>
      <c r="I44" s="58" t="n">
        <f aca="false">H44*Inputs!$B$34*Inputs!$B$35</f>
        <v>591993638.899114</v>
      </c>
      <c r="J44" s="58" t="n">
        <f aca="false">MIN(I44,'Voyage Model'!$C$19)</f>
        <v>29991554.0540541</v>
      </c>
      <c r="K44" s="58" t="n">
        <f aca="false">MAX(0,I44-'Voyage Model'!$C$19)</f>
        <v>562002084.84506</v>
      </c>
      <c r="L44" s="63" t="n">
        <f aca="false">IF('Voyage Model'!$C$19=0,0,I44/'Voyage Model'!$C$19)</f>
        <v>19.7386783569854</v>
      </c>
      <c r="M44" s="58" t="n">
        <f aca="false">J44/(Inputs!$B$34*Inputs!$B$35)</f>
        <v>249929.617117117</v>
      </c>
      <c r="N44" s="58" t="n">
        <f aca="false">K44/(Inputs!$B$34*Inputs!$B$35)</f>
        <v>4683350.70704216</v>
      </c>
      <c r="O44" s="35" t="n">
        <f aca="false">MAX(0,'Voyage Model'!$C$19-I44)/Inputs!$B$33/1000</f>
        <v>0</v>
      </c>
    </row>
    <row r="45" customFormat="false" ht="15" hidden="false" customHeight="false" outlineLevel="0" collapsed="false">
      <c r="A45" s="62" t="n">
        <v>0.02</v>
      </c>
      <c r="B45" s="63" t="n">
        <f aca="false">L45</f>
        <v>20.1115014244529</v>
      </c>
      <c r="C45" s="35" t="n">
        <f aca="false">M45/1000/(IF(Inputs!$B$43="Per day",'Voyage Model'!$C$6,1))</f>
        <v>249.929617117117</v>
      </c>
      <c r="D45" s="35" t="n">
        <f aca="false">N45/1000/(IF(Inputs!$B$43="Per day",'Voyage Model'!$C$6,1))</f>
        <v>4776.53023354675</v>
      </c>
      <c r="E45" s="35" t="n">
        <f aca="false">O45/(IF(Inputs!$B$43="Per day",'Voyage Model'!$C$6,1))</f>
        <v>0</v>
      </c>
      <c r="G45" s="61" t="n">
        <f aca="false">1-(1-A45)^'Voyage Model'!$C$6</f>
        <v>0.452775482339576</v>
      </c>
      <c r="H45" s="58" t="n">
        <f aca="false">'Voyage Model'!$C$8*G45</f>
        <v>5026459.85066386</v>
      </c>
      <c r="I45" s="58" t="n">
        <f aca="false">H45*Inputs!$B$34*Inputs!$B$35</f>
        <v>603175182.079664</v>
      </c>
      <c r="J45" s="58" t="n">
        <f aca="false">MIN(I45,'Voyage Model'!$C$19)</f>
        <v>29991554.0540541</v>
      </c>
      <c r="K45" s="58" t="n">
        <f aca="false">MAX(0,I45-'Voyage Model'!$C$19)</f>
        <v>573183628.02561</v>
      </c>
      <c r="L45" s="63" t="n">
        <f aca="false">IF('Voyage Model'!$C$19=0,0,I45/'Voyage Model'!$C$19)</f>
        <v>20.1115014244529</v>
      </c>
      <c r="M45" s="58" t="n">
        <f aca="false">J45/(Inputs!$B$34*Inputs!$B$35)</f>
        <v>249929.617117117</v>
      </c>
      <c r="N45" s="58" t="n">
        <f aca="false">K45/(Inputs!$B$34*Inputs!$B$35)</f>
        <v>4776530.23354675</v>
      </c>
      <c r="O45" s="35" t="n">
        <f aca="false">MAX(0,'Voyage Model'!$C$19-I45)/Inputs!$B$33/1000</f>
        <v>0</v>
      </c>
    </row>
    <row r="46" customFormat="false" ht="15" hidden="false" customHeight="false" outlineLevel="0" collapsed="false">
      <c r="A46" s="62" t="n">
        <v>0.0205</v>
      </c>
      <c r="B46" s="63" t="n">
        <f aca="false">L46</f>
        <v>20.4788783936592</v>
      </c>
      <c r="C46" s="35" t="n">
        <f aca="false">M46/1000/(IF(Inputs!$B$43="Per day",'Voyage Model'!$C$6,1))</f>
        <v>249.929617117117</v>
      </c>
      <c r="D46" s="35" t="n">
        <f aca="false">N46/1000/(IF(Inputs!$B$43="Per day",'Voyage Model'!$C$6,1))</f>
        <v>4868.34861879813</v>
      </c>
      <c r="E46" s="35" t="n">
        <f aca="false">O46/(IF(Inputs!$B$43="Per day",'Voyage Model'!$C$6,1))</f>
        <v>0</v>
      </c>
      <c r="G46" s="61" t="n">
        <f aca="false">1-(1-A46)^'Voyage Model'!$C$6</f>
        <v>0.461046335963194</v>
      </c>
      <c r="H46" s="58" t="n">
        <f aca="false">'Voyage Model'!$C$8*G46</f>
        <v>5118278.23591524</v>
      </c>
      <c r="I46" s="58" t="n">
        <f aca="false">H46*Inputs!$B$34*Inputs!$B$35</f>
        <v>614193388.309829</v>
      </c>
      <c r="J46" s="58" t="n">
        <f aca="false">MIN(I46,'Voyage Model'!$C$19)</f>
        <v>29991554.0540541</v>
      </c>
      <c r="K46" s="58" t="n">
        <f aca="false">MAX(0,I46-'Voyage Model'!$C$19)</f>
        <v>584201834.255775</v>
      </c>
      <c r="L46" s="63" t="n">
        <f aca="false">IF('Voyage Model'!$C$19=0,0,I46/'Voyage Model'!$C$19)</f>
        <v>20.4788783936592</v>
      </c>
      <c r="M46" s="58" t="n">
        <f aca="false">J46/(Inputs!$B$34*Inputs!$B$35)</f>
        <v>249929.617117117</v>
      </c>
      <c r="N46" s="58" t="n">
        <f aca="false">K46/(Inputs!$B$34*Inputs!$B$35)</f>
        <v>4868348.61879813</v>
      </c>
      <c r="O46" s="35" t="n">
        <f aca="false">MAX(0,'Voyage Model'!$C$19-I46)/Inputs!$B$33/1000</f>
        <v>0</v>
      </c>
    </row>
    <row r="47" customFormat="false" ht="15" hidden="false" customHeight="false" outlineLevel="0" collapsed="false">
      <c r="A47" s="62" t="n">
        <v>0.021</v>
      </c>
      <c r="B47" s="63" t="n">
        <f aca="false">L47</f>
        <v>20.840886100421</v>
      </c>
      <c r="C47" s="35" t="n">
        <f aca="false">M47/1000/(IF(Inputs!$B$43="Per day",'Voyage Model'!$C$6,1))</f>
        <v>249.929617117117</v>
      </c>
      <c r="D47" s="35" t="n">
        <f aca="false">N47/1000/(IF(Inputs!$B$43="Per day",'Voyage Model'!$C$6,1))</f>
        <v>4958.82506634255</v>
      </c>
      <c r="E47" s="35" t="n">
        <f aca="false">O47/(IF(Inputs!$B$43="Per day",'Voyage Model'!$C$6,1))</f>
        <v>0</v>
      </c>
      <c r="G47" s="61" t="n">
        <f aca="false">1-(1-A47)^'Voyage Model'!$C$6</f>
        <v>0.469196309979576</v>
      </c>
      <c r="H47" s="58" t="n">
        <f aca="false">'Voyage Model'!$C$8*G47</f>
        <v>5208754.68345967</v>
      </c>
      <c r="I47" s="58" t="n">
        <f aca="false">H47*Inputs!$B$34*Inputs!$B$35</f>
        <v>625050562.01516</v>
      </c>
      <c r="J47" s="58" t="n">
        <f aca="false">MIN(I47,'Voyage Model'!$C$19)</f>
        <v>29991554.0540541</v>
      </c>
      <c r="K47" s="58" t="n">
        <f aca="false">MAX(0,I47-'Voyage Model'!$C$19)</f>
        <v>595059007.961106</v>
      </c>
      <c r="L47" s="63" t="n">
        <f aca="false">IF('Voyage Model'!$C$19=0,0,I47/'Voyage Model'!$C$19)</f>
        <v>20.840886100421</v>
      </c>
      <c r="M47" s="58" t="n">
        <f aca="false">J47/(Inputs!$B$34*Inputs!$B$35)</f>
        <v>249929.617117117</v>
      </c>
      <c r="N47" s="58" t="n">
        <f aca="false">K47/(Inputs!$B$34*Inputs!$B$35)</f>
        <v>4958825.06634255</v>
      </c>
      <c r="O47" s="35" t="n">
        <f aca="false">MAX(0,'Voyage Model'!$C$19-I47)/Inputs!$B$33/1000</f>
        <v>0</v>
      </c>
    </row>
    <row r="48" customFormat="false" ht="15" hidden="false" customHeight="false" outlineLevel="0" collapsed="false">
      <c r="A48" s="62" t="n">
        <v>0.0215</v>
      </c>
      <c r="B48" s="63" t="n">
        <f aca="false">L48</f>
        <v>21.1976003349271</v>
      </c>
      <c r="C48" s="35" t="n">
        <f aca="false">M48/1000/(IF(Inputs!$B$43="Per day",'Voyage Model'!$C$6,1))</f>
        <v>249.929617117117</v>
      </c>
      <c r="D48" s="35" t="n">
        <f aca="false">N48/1000/(IF(Inputs!$B$43="Per day",'Voyage Model'!$C$6,1))</f>
        <v>5047.97851839289</v>
      </c>
      <c r="E48" s="35" t="n">
        <f aca="false">O48/(IF(Inputs!$B$43="Per day",'Voyage Model'!$C$6,1))</f>
        <v>0</v>
      </c>
      <c r="G48" s="61" t="n">
        <f aca="false">1-(1-A48)^'Voyage Model'!$C$6</f>
        <v>0.477227110673031</v>
      </c>
      <c r="H48" s="58" t="n">
        <f aca="false">'Voyage Model'!$C$8*G48</f>
        <v>5297908.13551001</v>
      </c>
      <c r="I48" s="58" t="n">
        <f aca="false">H48*Inputs!$B$34*Inputs!$B$35</f>
        <v>635748976.261201</v>
      </c>
      <c r="J48" s="58" t="n">
        <f aca="false">MIN(I48,'Voyage Model'!$C$19)</f>
        <v>29991554.0540541</v>
      </c>
      <c r="K48" s="58" t="n">
        <f aca="false">MAX(0,I48-'Voyage Model'!$C$19)</f>
        <v>605757422.207147</v>
      </c>
      <c r="L48" s="63" t="n">
        <f aca="false">IF('Voyage Model'!$C$19=0,0,I48/'Voyage Model'!$C$19)</f>
        <v>21.1976003349271</v>
      </c>
      <c r="M48" s="58" t="n">
        <f aca="false">J48/(Inputs!$B$34*Inputs!$B$35)</f>
        <v>249929.617117117</v>
      </c>
      <c r="N48" s="58" t="n">
        <f aca="false">K48/(Inputs!$B$34*Inputs!$B$35)</f>
        <v>5047978.51839289</v>
      </c>
      <c r="O48" s="35" t="n">
        <f aca="false">MAX(0,'Voyage Model'!$C$19-I48)/Inputs!$B$33/1000</f>
        <v>0</v>
      </c>
    </row>
    <row r="49" customFormat="false" ht="15" hidden="false" customHeight="false" outlineLevel="0" collapsed="false">
      <c r="A49" s="62" t="n">
        <v>0.022</v>
      </c>
      <c r="B49" s="63" t="n">
        <f aca="false">L49</f>
        <v>21.5490958554456</v>
      </c>
      <c r="C49" s="35" t="n">
        <f aca="false">M49/1000/(IF(Inputs!$B$43="Per day",'Voyage Model'!$C$6,1))</f>
        <v>249.929617117117</v>
      </c>
      <c r="D49" s="35" t="n">
        <f aca="false">N49/1000/(IF(Inputs!$B$43="Per day",'Voyage Model'!$C$6,1))</f>
        <v>5135.82765925446</v>
      </c>
      <c r="E49" s="35" t="n">
        <f aca="false">O49/(IF(Inputs!$B$43="Per day",'Voyage Model'!$C$6,1))</f>
        <v>0</v>
      </c>
      <c r="G49" s="61" t="n">
        <f aca="false">1-(1-A49)^'Voyage Model'!$C$6</f>
        <v>0.485140421095963</v>
      </c>
      <c r="H49" s="58" t="n">
        <f aca="false">'Voyage Model'!$C$8*G49</f>
        <v>5385757.27637157</v>
      </c>
      <c r="I49" s="58" t="n">
        <f aca="false">H49*Inputs!$B$34*Inputs!$B$35</f>
        <v>646290873.164589</v>
      </c>
      <c r="J49" s="58" t="n">
        <f aca="false">MIN(I49,'Voyage Model'!$C$19)</f>
        <v>29991554.0540541</v>
      </c>
      <c r="K49" s="58" t="n">
        <f aca="false">MAX(0,I49-'Voyage Model'!$C$19)</f>
        <v>616299319.110535</v>
      </c>
      <c r="L49" s="63" t="n">
        <f aca="false">IF('Voyage Model'!$C$19=0,0,I49/'Voyage Model'!$C$19)</f>
        <v>21.5490958554456</v>
      </c>
      <c r="M49" s="58" t="n">
        <f aca="false">J49/(Inputs!$B$34*Inputs!$B$35)</f>
        <v>249929.617117117</v>
      </c>
      <c r="N49" s="58" t="n">
        <f aca="false">K49/(Inputs!$B$34*Inputs!$B$35)</f>
        <v>5135827.65925446</v>
      </c>
      <c r="O49" s="35" t="n">
        <f aca="false">MAX(0,'Voyage Model'!$C$19-I49)/Inputs!$B$33/1000</f>
        <v>0</v>
      </c>
    </row>
    <row r="50" customFormat="false" ht="15" hidden="false" customHeight="false" outlineLevel="0" collapsed="false">
      <c r="A50" s="62" t="n">
        <v>0.0225</v>
      </c>
      <c r="B50" s="63" t="n">
        <f aca="false">L50</f>
        <v>21.8954464018565</v>
      </c>
      <c r="C50" s="35" t="n">
        <f aca="false">M50/1000/(IF(Inputs!$B$43="Per day",'Voyage Model'!$C$6,1))</f>
        <v>249.929617117117</v>
      </c>
      <c r="D50" s="35" t="n">
        <f aca="false">N50/1000/(IF(Inputs!$B$43="Per day",'Voyage Model'!$C$6,1))</f>
        <v>5222.39091870724</v>
      </c>
      <c r="E50" s="35" t="n">
        <f aca="false">O50/(IF(Inputs!$B$43="Per day",'Voyage Model'!$C$6,1))</f>
        <v>0</v>
      </c>
      <c r="G50" s="61" t="n">
        <f aca="false">1-(1-A50)^'Voyage Model'!$C$6</f>
        <v>0.492937901373547</v>
      </c>
      <c r="H50" s="58" t="n">
        <f aca="false">'Voyage Model'!$C$8*G50</f>
        <v>5472320.53582435</v>
      </c>
      <c r="I50" s="58" t="n">
        <f aca="false">H50*Inputs!$B$34*Inputs!$B$35</f>
        <v>656678464.298922</v>
      </c>
      <c r="J50" s="58" t="n">
        <f aca="false">MIN(I50,'Voyage Model'!$C$19)</f>
        <v>29991554.0540541</v>
      </c>
      <c r="K50" s="58" t="n">
        <f aca="false">MAX(0,I50-'Voyage Model'!$C$19)</f>
        <v>626686910.244868</v>
      </c>
      <c r="L50" s="63" t="n">
        <f aca="false">IF('Voyage Model'!$C$19=0,0,I50/'Voyage Model'!$C$19)</f>
        <v>21.8954464018565</v>
      </c>
      <c r="M50" s="58" t="n">
        <f aca="false">J50/(Inputs!$B$34*Inputs!$B$35)</f>
        <v>249929.617117117</v>
      </c>
      <c r="N50" s="58" t="n">
        <f aca="false">K50/(Inputs!$B$34*Inputs!$B$35)</f>
        <v>5222390.91870724</v>
      </c>
      <c r="O50" s="35" t="n">
        <f aca="false">MAX(0,'Voyage Model'!$C$19-I50)/Inputs!$B$33/1000</f>
        <v>0</v>
      </c>
    </row>
    <row r="51" customFormat="false" ht="15" hidden="false" customHeight="false" outlineLevel="0" collapsed="false">
      <c r="A51" s="62" t="n">
        <v>0.023</v>
      </c>
      <c r="B51" s="63" t="n">
        <f aca="false">L51</f>
        <v>22.2367247090155</v>
      </c>
      <c r="C51" s="35" t="n">
        <f aca="false">M51/1000/(IF(Inputs!$B$43="Per day",'Voyage Model'!$C$6,1))</f>
        <v>249.929617117117</v>
      </c>
      <c r="D51" s="35" t="n">
        <f aca="false">N51/1000/(IF(Inputs!$B$43="Per day",'Voyage Model'!$C$6,1))</f>
        <v>5307.68647534587</v>
      </c>
      <c r="E51" s="35" t="n">
        <f aca="false">O51/(IF(Inputs!$B$43="Per day",'Voyage Model'!$C$6,1))</f>
        <v>0</v>
      </c>
      <c r="G51" s="61" t="n">
        <f aca="false">1-(1-A51)^'Voyage Model'!$C$6</f>
        <v>0.500621189004578</v>
      </c>
      <c r="H51" s="58" t="n">
        <f aca="false">'Voyage Model'!$C$8*G51</f>
        <v>5557616.09246299</v>
      </c>
      <c r="I51" s="58" t="n">
        <f aca="false">H51*Inputs!$B$34*Inputs!$B$35</f>
        <v>666913931.095558</v>
      </c>
      <c r="J51" s="58" t="n">
        <f aca="false">MIN(I51,'Voyage Model'!$C$19)</f>
        <v>29991554.0540541</v>
      </c>
      <c r="K51" s="58" t="n">
        <f aca="false">MAX(0,I51-'Voyage Model'!$C$19)</f>
        <v>636922377.041504</v>
      </c>
      <c r="L51" s="63" t="n">
        <f aca="false">IF('Voyage Model'!$C$19=0,0,I51/'Voyage Model'!$C$19)</f>
        <v>22.2367247090155</v>
      </c>
      <c r="M51" s="58" t="n">
        <f aca="false">J51/(Inputs!$B$34*Inputs!$B$35)</f>
        <v>249929.617117117</v>
      </c>
      <c r="N51" s="58" t="n">
        <f aca="false">K51/(Inputs!$B$34*Inputs!$B$35)</f>
        <v>5307686.47534587</v>
      </c>
      <c r="O51" s="35" t="n">
        <f aca="false">MAX(0,'Voyage Model'!$C$19-I51)/Inputs!$B$33/1000</f>
        <v>0</v>
      </c>
    </row>
    <row r="52" customFormat="false" ht="15" hidden="false" customHeight="false" outlineLevel="0" collapsed="false">
      <c r="A52" s="62" t="n">
        <v>0.0235</v>
      </c>
      <c r="B52" s="63" t="n">
        <f aca="false">L52</f>
        <v>22.5730025199475</v>
      </c>
      <c r="C52" s="35" t="n">
        <f aca="false">M52/1000/(IF(Inputs!$B$43="Per day",'Voyage Model'!$C$6,1))</f>
        <v>249.929617117117</v>
      </c>
      <c r="D52" s="35" t="n">
        <f aca="false">N52/1000/(IF(Inputs!$B$43="Per day",'Voyage Model'!$C$6,1))</f>
        <v>5391.73225987709</v>
      </c>
      <c r="E52" s="35" t="n">
        <f aca="false">O52/(IF(Inputs!$B$43="Per day",'Voyage Model'!$C$6,1))</f>
        <v>0</v>
      </c>
      <c r="G52" s="61" t="n">
        <f aca="false">1-(1-A52)^'Voyage Model'!$C$6</f>
        <v>0.508191899158506</v>
      </c>
      <c r="H52" s="58" t="n">
        <f aca="false">'Voyage Model'!$C$8*G52</f>
        <v>5641661.8769942</v>
      </c>
      <c r="I52" s="58" t="n">
        <f aca="false">H52*Inputs!$B$34*Inputs!$B$35</f>
        <v>676999425.239304</v>
      </c>
      <c r="J52" s="58" t="n">
        <f aca="false">MIN(I52,'Voyage Model'!$C$19)</f>
        <v>29991554.0540541</v>
      </c>
      <c r="K52" s="58" t="n">
        <f aca="false">MAX(0,I52-'Voyage Model'!$C$19)</f>
        <v>647007871.18525</v>
      </c>
      <c r="L52" s="63" t="n">
        <f aca="false">IF('Voyage Model'!$C$19=0,0,I52/'Voyage Model'!$C$19)</f>
        <v>22.5730025199475</v>
      </c>
      <c r="M52" s="58" t="n">
        <f aca="false">J52/(Inputs!$B$34*Inputs!$B$35)</f>
        <v>249929.617117117</v>
      </c>
      <c r="N52" s="58" t="n">
        <f aca="false">K52/(Inputs!$B$34*Inputs!$B$35)</f>
        <v>5391732.25987709</v>
      </c>
      <c r="O52" s="35" t="n">
        <f aca="false">MAX(0,'Voyage Model'!$C$19-I52)/Inputs!$B$33/1000</f>
        <v>0</v>
      </c>
    </row>
    <row r="53" customFormat="false" ht="15" hidden="false" customHeight="false" outlineLevel="0" collapsed="false">
      <c r="A53" s="62" t="n">
        <v>0.024</v>
      </c>
      <c r="B53" s="63" t="n">
        <f aca="false">L53</f>
        <v>22.9043505988748</v>
      </c>
      <c r="C53" s="35" t="n">
        <f aca="false">M53/1000/(IF(Inputs!$B$43="Per day",'Voyage Model'!$C$6,1))</f>
        <v>249.929617117117</v>
      </c>
      <c r="D53" s="35" t="n">
        <f aca="false">N53/1000/(IF(Inputs!$B$43="Per day",'Voyage Model'!$C$6,1))</f>
        <v>5474.54595837586</v>
      </c>
      <c r="E53" s="35" t="n">
        <f aca="false">O53/(IF(Inputs!$B$43="Per day",'Voyage Model'!$C$6,1))</f>
        <v>0</v>
      </c>
      <c r="G53" s="61" t="n">
        <f aca="false">1-(1-A53)^'Voyage Model'!$C$6</f>
        <v>0.515651624968741</v>
      </c>
      <c r="H53" s="58" t="n">
        <f aca="false">'Voyage Model'!$C$8*G53</f>
        <v>5724475.57549298</v>
      </c>
      <c r="I53" s="58" t="n">
        <f aca="false">H53*Inputs!$B$34*Inputs!$B$35</f>
        <v>686937069.059157</v>
      </c>
      <c r="J53" s="58" t="n">
        <f aca="false">MIN(I53,'Voyage Model'!$C$19)</f>
        <v>29991554.0540541</v>
      </c>
      <c r="K53" s="58" t="n">
        <f aca="false">MAX(0,I53-'Voyage Model'!$C$19)</f>
        <v>656945515.005103</v>
      </c>
      <c r="L53" s="63" t="n">
        <f aca="false">IF('Voyage Model'!$C$19=0,0,I53/'Voyage Model'!$C$19)</f>
        <v>22.9043505988748</v>
      </c>
      <c r="M53" s="58" t="n">
        <f aca="false">J53/(Inputs!$B$34*Inputs!$B$35)</f>
        <v>249929.617117117</v>
      </c>
      <c r="N53" s="58" t="n">
        <f aca="false">K53/(Inputs!$B$34*Inputs!$B$35)</f>
        <v>5474545.95837586</v>
      </c>
      <c r="O53" s="35" t="n">
        <f aca="false">MAX(0,'Voyage Model'!$C$19-I53)/Inputs!$B$33/1000</f>
        <v>0</v>
      </c>
    </row>
    <row r="54" customFormat="false" ht="15" hidden="false" customHeight="false" outlineLevel="0" collapsed="false">
      <c r="A54" s="62" t="n">
        <v>0.0245</v>
      </c>
      <c r="B54" s="63" t="n">
        <f aca="false">L54</f>
        <v>23.2308387440793</v>
      </c>
      <c r="C54" s="35" t="n">
        <f aca="false">M54/1000/(IF(Inputs!$B$43="Per day",'Voyage Model'!$C$6,1))</f>
        <v>249.929617117117</v>
      </c>
      <c r="D54" s="35" t="n">
        <f aca="false">N54/1000/(IF(Inputs!$B$43="Per day",'Voyage Model'!$C$6,1))</f>
        <v>5556.14501550011</v>
      </c>
      <c r="E54" s="35" t="n">
        <f aca="false">O54/(IF(Inputs!$B$43="Per day",'Voyage Model'!$C$6,1))</f>
        <v>0</v>
      </c>
      <c r="G54" s="61" t="n">
        <f aca="false">1-(1-A54)^'Voyage Model'!$C$6</f>
        <v>0.523001937822231</v>
      </c>
      <c r="H54" s="58" t="n">
        <f aca="false">'Voyage Model'!$C$8*G54</f>
        <v>5806074.63261723</v>
      </c>
      <c r="I54" s="58" t="n">
        <f aca="false">H54*Inputs!$B$34*Inputs!$B$35</f>
        <v>696728955.914068</v>
      </c>
      <c r="J54" s="58" t="n">
        <f aca="false">MIN(I54,'Voyage Model'!$C$19)</f>
        <v>29991554.0540541</v>
      </c>
      <c r="K54" s="58" t="n">
        <f aca="false">MAX(0,I54-'Voyage Model'!$C$19)</f>
        <v>666737401.860014</v>
      </c>
      <c r="L54" s="63" t="n">
        <f aca="false">IF('Voyage Model'!$C$19=0,0,I54/'Voyage Model'!$C$19)</f>
        <v>23.2308387440793</v>
      </c>
      <c r="M54" s="58" t="n">
        <f aca="false">J54/(Inputs!$B$34*Inputs!$B$35)</f>
        <v>249929.617117117</v>
      </c>
      <c r="N54" s="58" t="n">
        <f aca="false">K54/(Inputs!$B$34*Inputs!$B$35)</f>
        <v>5556145.01550011</v>
      </c>
      <c r="O54" s="35" t="n">
        <f aca="false">MAX(0,'Voyage Model'!$C$19-I54)/Inputs!$B$33/1000</f>
        <v>0</v>
      </c>
    </row>
    <row r="55" customFormat="false" ht="15" hidden="false" customHeight="false" outlineLevel="0" collapsed="false">
      <c r="A55" s="62" t="n">
        <v>0.025</v>
      </c>
      <c r="B55" s="63" t="n">
        <f aca="false">L55</f>
        <v>23.5525358006041</v>
      </c>
      <c r="C55" s="35" t="n">
        <f aca="false">M55/1000/(IF(Inputs!$B$43="Per day",'Voyage Model'!$C$6,1))</f>
        <v>249.929617117117</v>
      </c>
      <c r="D55" s="35" t="n">
        <f aca="false">N55/1000/(IF(Inputs!$B$43="Per day",'Voyage Model'!$C$6,1))</f>
        <v>5636.54663766506</v>
      </c>
      <c r="E55" s="35" t="n">
        <f aca="false">O55/(IF(Inputs!$B$43="Per day",'Voyage Model'!$C$6,1))</f>
        <v>0</v>
      </c>
      <c r="G55" s="61" t="n">
        <f aca="false">1-(1-A55)^'Voyage Model'!$C$6</f>
        <v>0.530244387645403</v>
      </c>
      <c r="H55" s="58" t="n">
        <f aca="false">'Voyage Model'!$C$8*G55</f>
        <v>5886476.25478218</v>
      </c>
      <c r="I55" s="58" t="n">
        <f aca="false">H55*Inputs!$B$34*Inputs!$B$35</f>
        <v>706377150.573861</v>
      </c>
      <c r="J55" s="58" t="n">
        <f aca="false">MIN(I55,'Voyage Model'!$C$19)</f>
        <v>29991554.0540541</v>
      </c>
      <c r="K55" s="58" t="n">
        <f aca="false">MAX(0,I55-'Voyage Model'!$C$19)</f>
        <v>676385596.519807</v>
      </c>
      <c r="L55" s="63" t="n">
        <f aca="false">IF('Voyage Model'!$C$19=0,0,I55/'Voyage Model'!$C$19)</f>
        <v>23.5525358006041</v>
      </c>
      <c r="M55" s="58" t="n">
        <f aca="false">J55/(Inputs!$B$34*Inputs!$B$35)</f>
        <v>249929.617117117</v>
      </c>
      <c r="N55" s="58" t="n">
        <f aca="false">K55/(Inputs!$B$34*Inputs!$B$35)</f>
        <v>5636546.63766506</v>
      </c>
      <c r="O55" s="35" t="n">
        <f aca="false">MAX(0,'Voyage Model'!$C$19-I55)/Inputs!$B$33/1000</f>
        <v>0</v>
      </c>
    </row>
    <row r="56" customFormat="false" ht="15" hidden="false" customHeight="false" outlineLevel="0" collapsed="false">
      <c r="A56" s="62" t="n">
        <v>0.0255</v>
      </c>
      <c r="B56" s="63" t="n">
        <f aca="false">L56</f>
        <v>23.8695096727922</v>
      </c>
      <c r="C56" s="35" t="n">
        <f aca="false">M56/1000/(IF(Inputs!$B$43="Per day",'Voyage Model'!$C$6,1))</f>
        <v>249.929617117117</v>
      </c>
      <c r="D56" s="35" t="n">
        <f aca="false">N56/1000/(IF(Inputs!$B$43="Per day",'Voyage Model'!$C$6,1))</f>
        <v>5715.76779617717</v>
      </c>
      <c r="E56" s="35" t="n">
        <f aca="false">O56/(IF(Inputs!$B$43="Per day",'Voyage Model'!$C$6,1))</f>
        <v>0</v>
      </c>
      <c r="G56" s="61" t="n">
        <f aca="false">1-(1-A56)^'Voyage Model'!$C$6</f>
        <v>0.537380503186459</v>
      </c>
      <c r="H56" s="58" t="n">
        <f aca="false">'Voyage Model'!$C$8*G56</f>
        <v>5965697.41329429</v>
      </c>
      <c r="I56" s="58" t="n">
        <f aca="false">H56*Inputs!$B$34*Inputs!$B$35</f>
        <v>715883689.595315</v>
      </c>
      <c r="J56" s="58" t="n">
        <f aca="false">MIN(I56,'Voyage Model'!$C$19)</f>
        <v>29991554.0540541</v>
      </c>
      <c r="K56" s="58" t="n">
        <f aca="false">MAX(0,I56-'Voyage Model'!$C$19)</f>
        <v>685892135.541261</v>
      </c>
      <c r="L56" s="63" t="n">
        <f aca="false">IF('Voyage Model'!$C$19=0,0,I56/'Voyage Model'!$C$19)</f>
        <v>23.8695096727922</v>
      </c>
      <c r="M56" s="58" t="n">
        <f aca="false">J56/(Inputs!$B$34*Inputs!$B$35)</f>
        <v>249929.617117117</v>
      </c>
      <c r="N56" s="58" t="n">
        <f aca="false">K56/(Inputs!$B$34*Inputs!$B$35)</f>
        <v>5715767.79617717</v>
      </c>
      <c r="O56" s="35" t="n">
        <f aca="false">MAX(0,'Voyage Model'!$C$19-I56)/Inputs!$B$33/1000</f>
        <v>0</v>
      </c>
    </row>
    <row r="57" customFormat="false" ht="15" hidden="false" customHeight="false" outlineLevel="0" collapsed="false">
      <c r="A57" s="62" t="n">
        <v>0.026</v>
      </c>
      <c r="B57" s="63" t="n">
        <f aca="false">L57</f>
        <v>24.1818273366686</v>
      </c>
      <c r="C57" s="35" t="n">
        <f aca="false">M57/1000/(IF(Inputs!$B$43="Per day",'Voyage Model'!$C$6,1))</f>
        <v>249.929617117117</v>
      </c>
      <c r="D57" s="35" t="n">
        <f aca="false">N57/1000/(IF(Inputs!$B$43="Per day",'Voyage Model'!$C$6,1))</f>
        <v>5793.82523032871</v>
      </c>
      <c r="E57" s="35" t="n">
        <f aca="false">O57/(IF(Inputs!$B$43="Per day",'Voyage Model'!$C$6,1))</f>
        <v>0</v>
      </c>
      <c r="G57" s="61" t="n">
        <f aca="false">1-(1-A57)^'Voyage Model'!$C$6</f>
        <v>0.544411792294138</v>
      </c>
      <c r="H57" s="58" t="n">
        <f aca="false">'Voyage Model'!$C$8*G57</f>
        <v>6043754.84744583</v>
      </c>
      <c r="I57" s="58" t="n">
        <f aca="false">H57*Inputs!$B$34*Inputs!$B$35</f>
        <v>725250581.6935</v>
      </c>
      <c r="J57" s="58" t="n">
        <f aca="false">MIN(I57,'Voyage Model'!$C$19)</f>
        <v>29991554.0540541</v>
      </c>
      <c r="K57" s="58" t="n">
        <f aca="false">MAX(0,I57-'Voyage Model'!$C$19)</f>
        <v>695259027.639446</v>
      </c>
      <c r="L57" s="63" t="n">
        <f aca="false">IF('Voyage Model'!$C$19=0,0,I57/'Voyage Model'!$C$19)</f>
        <v>24.1818273366686</v>
      </c>
      <c r="M57" s="58" t="n">
        <f aca="false">J57/(Inputs!$B$34*Inputs!$B$35)</f>
        <v>249929.617117117</v>
      </c>
      <c r="N57" s="58" t="n">
        <f aca="false">K57/(Inputs!$B$34*Inputs!$B$35)</f>
        <v>5793825.23032871</v>
      </c>
      <c r="O57" s="35" t="n">
        <f aca="false">MAX(0,'Voyage Model'!$C$19-I57)/Inputs!$B$33/1000</f>
        <v>0</v>
      </c>
    </row>
    <row r="58" customFormat="false" ht="15" hidden="false" customHeight="false" outlineLevel="0" collapsed="false">
      <c r="A58" s="62" t="n">
        <v>0.0265</v>
      </c>
      <c r="B58" s="63" t="n">
        <f aca="false">L58</f>
        <v>24.489554852164</v>
      </c>
      <c r="C58" s="35" t="n">
        <f aca="false">M58/1000/(IF(Inputs!$B$43="Per day",'Voyage Model'!$C$6,1))</f>
        <v>249.929617117117</v>
      </c>
      <c r="D58" s="35" t="n">
        <f aca="false">N58/1000/(IF(Inputs!$B$43="Per day",'Voyage Model'!$C$6,1))</f>
        <v>5870.73545045288</v>
      </c>
      <c r="E58" s="35" t="n">
        <f aca="false">O58/(IF(Inputs!$B$43="Per day",'Voyage Model'!$C$6,1))</f>
        <v>0</v>
      </c>
      <c r="G58" s="61" t="n">
        <f aca="false">1-(1-A58)^'Voyage Model'!$C$6</f>
        <v>0.551339742192904</v>
      </c>
      <c r="H58" s="58" t="n">
        <f aca="false">'Voyage Model'!$C$8*G58</f>
        <v>6120665.06757</v>
      </c>
      <c r="I58" s="58" t="n">
        <f aca="false">H58*Inputs!$B$34*Inputs!$B$35</f>
        <v>734479808.108399</v>
      </c>
      <c r="J58" s="58" t="n">
        <f aca="false">MIN(I58,'Voyage Model'!$C$19)</f>
        <v>29991554.0540541</v>
      </c>
      <c r="K58" s="58" t="n">
        <f aca="false">MAX(0,I58-'Voyage Model'!$C$19)</f>
        <v>704488254.054345</v>
      </c>
      <c r="L58" s="63" t="n">
        <f aca="false">IF('Voyage Model'!$C$19=0,0,I58/'Voyage Model'!$C$19)</f>
        <v>24.489554852164</v>
      </c>
      <c r="M58" s="58" t="n">
        <f aca="false">J58/(Inputs!$B$34*Inputs!$B$35)</f>
        <v>249929.617117117</v>
      </c>
      <c r="N58" s="58" t="n">
        <f aca="false">K58/(Inputs!$B$34*Inputs!$B$35)</f>
        <v>5870735.45045288</v>
      </c>
      <c r="O58" s="35" t="n">
        <f aca="false">MAX(0,'Voyage Model'!$C$19-I58)/Inputs!$B$33/1000</f>
        <v>0</v>
      </c>
    </row>
    <row r="59" customFormat="false" ht="15" hidden="false" customHeight="false" outlineLevel="0" collapsed="false">
      <c r="A59" s="62" t="n">
        <v>0.027</v>
      </c>
      <c r="B59" s="63" t="n">
        <f aca="false">L59</f>
        <v>24.7927573751851</v>
      </c>
      <c r="C59" s="35" t="n">
        <f aca="false">M59/1000/(IF(Inputs!$B$43="Per day",'Voyage Model'!$C$6,1))</f>
        <v>249.929617117117</v>
      </c>
      <c r="D59" s="35" t="n">
        <f aca="false">N59/1000/(IF(Inputs!$B$43="Per day",'Voyage Model'!$C$6,1))</f>
        <v>5946.51474094047</v>
      </c>
      <c r="E59" s="35" t="n">
        <f aca="false">O59/(IF(Inputs!$B$43="Per day",'Voyage Model'!$C$6,1))</f>
        <v>0</v>
      </c>
      <c r="G59" s="61" t="n">
        <f aca="false">1-(1-A59)^'Voyage Model'!$C$6</f>
        <v>0.558165819754698</v>
      </c>
      <c r="H59" s="58" t="n">
        <f aca="false">'Voyage Model'!$C$8*G59</f>
        <v>6196444.35805759</v>
      </c>
      <c r="I59" s="58" t="n">
        <f aca="false">H59*Inputs!$B$34*Inputs!$B$35</f>
        <v>743573322.966911</v>
      </c>
      <c r="J59" s="58" t="n">
        <f aca="false">MIN(I59,'Voyage Model'!$C$19)</f>
        <v>29991554.0540541</v>
      </c>
      <c r="K59" s="58" t="n">
        <f aca="false">MAX(0,I59-'Voyage Model'!$C$19)</f>
        <v>713581768.912857</v>
      </c>
      <c r="L59" s="63" t="n">
        <f aca="false">IF('Voyage Model'!$C$19=0,0,I59/'Voyage Model'!$C$19)</f>
        <v>24.7927573751851</v>
      </c>
      <c r="M59" s="58" t="n">
        <f aca="false">J59/(Inputs!$B$34*Inputs!$B$35)</f>
        <v>249929.617117117</v>
      </c>
      <c r="N59" s="58" t="n">
        <f aca="false">K59/(Inputs!$B$34*Inputs!$B$35)</f>
        <v>5946514.74094047</v>
      </c>
      <c r="O59" s="35" t="n">
        <f aca="false">MAX(0,'Voyage Model'!$C$19-I59)/Inputs!$B$33/1000</f>
        <v>0</v>
      </c>
    </row>
    <row r="60" customFormat="false" ht="15" hidden="false" customHeight="false" outlineLevel="0" collapsed="false">
      <c r="A60" s="62" t="n">
        <v>0.0275</v>
      </c>
      <c r="B60" s="63" t="n">
        <f aca="false">L60</f>
        <v>25.0914991695305</v>
      </c>
      <c r="C60" s="35" t="n">
        <f aca="false">M60/1000/(IF(Inputs!$B$43="Per day",'Voyage Model'!$C$6,1))</f>
        <v>249.929617117117</v>
      </c>
      <c r="D60" s="35" t="n">
        <f aca="false">N60/1000/(IF(Inputs!$B$43="Per day",'Voyage Model'!$C$6,1))</f>
        <v>6021.17916321811</v>
      </c>
      <c r="E60" s="35" t="n">
        <f aca="false">O60/(IF(Inputs!$B$43="Per day",'Voyage Model'!$C$6,1))</f>
        <v>0</v>
      </c>
      <c r="G60" s="61" t="n">
        <f aca="false">1-(1-A60)^'Voyage Model'!$C$6</f>
        <v>0.564891471767197</v>
      </c>
      <c r="H60" s="58" t="n">
        <f aca="false">'Voyage Model'!$C$8*G60</f>
        <v>6271108.78033523</v>
      </c>
      <c r="I60" s="58" t="n">
        <f aca="false">H60*Inputs!$B$34*Inputs!$B$35</f>
        <v>752533053.640227</v>
      </c>
      <c r="J60" s="58" t="n">
        <f aca="false">MIN(I60,'Voyage Model'!$C$19)</f>
        <v>29991554.0540541</v>
      </c>
      <c r="K60" s="58" t="n">
        <f aca="false">MAX(0,I60-'Voyage Model'!$C$19)</f>
        <v>722541499.586173</v>
      </c>
      <c r="L60" s="63" t="n">
        <f aca="false">IF('Voyage Model'!$C$19=0,0,I60/'Voyage Model'!$C$19)</f>
        <v>25.0914991695305</v>
      </c>
      <c r="M60" s="58" t="n">
        <f aca="false">J60/(Inputs!$B$34*Inputs!$B$35)</f>
        <v>249929.617117117</v>
      </c>
      <c r="N60" s="58" t="n">
        <f aca="false">K60/(Inputs!$B$34*Inputs!$B$35)</f>
        <v>6021179.16321811</v>
      </c>
      <c r="O60" s="35" t="n">
        <f aca="false">MAX(0,'Voyage Model'!$C$19-I60)/Inputs!$B$33/1000</f>
        <v>0</v>
      </c>
    </row>
    <row r="61" customFormat="false" ht="15" hidden="false" customHeight="false" outlineLevel="0" collapsed="false">
      <c r="A61" s="62" t="n">
        <v>0.028</v>
      </c>
      <c r="B61" s="63" t="n">
        <f aca="false">L61</f>
        <v>25.3858436186574</v>
      </c>
      <c r="C61" s="35" t="n">
        <f aca="false">M61/1000/(IF(Inputs!$B$43="Per day",'Voyage Model'!$C$6,1))</f>
        <v>249.929617117117</v>
      </c>
      <c r="D61" s="35" t="n">
        <f aca="false">N61/1000/(IF(Inputs!$B$43="Per day",'Voyage Model'!$C$6,1))</f>
        <v>6094.74455868893</v>
      </c>
      <c r="E61" s="35" t="n">
        <f aca="false">O61/(IF(Inputs!$B$43="Per day",'Voyage Model'!$C$6,1))</f>
        <v>0</v>
      </c>
      <c r="G61" s="61" t="n">
        <f aca="false">1-(1-A61)^'Voyage Model'!$C$6</f>
        <v>0.571518125198717</v>
      </c>
      <c r="H61" s="58" t="n">
        <f aca="false">'Voyage Model'!$C$8*G61</f>
        <v>6344674.17580604</v>
      </c>
      <c r="I61" s="58" t="n">
        <f aca="false">H61*Inputs!$B$34*Inputs!$B$35</f>
        <v>761360901.096725</v>
      </c>
      <c r="J61" s="58" t="n">
        <f aca="false">MIN(I61,'Voyage Model'!$C$19)</f>
        <v>29991554.0540541</v>
      </c>
      <c r="K61" s="58" t="n">
        <f aca="false">MAX(0,I61-'Voyage Model'!$C$19)</f>
        <v>731369347.042671</v>
      </c>
      <c r="L61" s="63" t="n">
        <f aca="false">IF('Voyage Model'!$C$19=0,0,I61/'Voyage Model'!$C$19)</f>
        <v>25.3858436186574</v>
      </c>
      <c r="M61" s="58" t="n">
        <f aca="false">J61/(Inputs!$B$34*Inputs!$B$35)</f>
        <v>249929.617117117</v>
      </c>
      <c r="N61" s="58" t="n">
        <f aca="false">K61/(Inputs!$B$34*Inputs!$B$35)</f>
        <v>6094744.55868893</v>
      </c>
      <c r="O61" s="35" t="n">
        <f aca="false">MAX(0,'Voyage Model'!$C$19-I61)/Inputs!$B$33/1000</f>
        <v>0</v>
      </c>
    </row>
    <row r="62" customFormat="false" ht="15" hidden="false" customHeight="false" outlineLevel="0" collapsed="false">
      <c r="A62" s="62" t="n">
        <v>0.0285</v>
      </c>
      <c r="B62" s="63" t="n">
        <f aca="false">L62</f>
        <v>25.6758532372966</v>
      </c>
      <c r="C62" s="35" t="n">
        <f aca="false">M62/1000/(IF(Inputs!$B$43="Per day",'Voyage Model'!$C$6,1))</f>
        <v>249.929617117117</v>
      </c>
      <c r="D62" s="35" t="n">
        <f aca="false">N62/1000/(IF(Inputs!$B$43="Per day",'Voyage Model'!$C$6,1))</f>
        <v>6167.2265516357</v>
      </c>
      <c r="E62" s="35" t="n">
        <f aca="false">O62/(IF(Inputs!$B$43="Per day",'Voyage Model'!$C$6,1))</f>
        <v>0</v>
      </c>
      <c r="G62" s="61" t="n">
        <f aca="false">1-(1-A62)^'Voyage Model'!$C$6</f>
        <v>0.578047187459719</v>
      </c>
      <c r="H62" s="58" t="n">
        <f aca="false">'Voyage Model'!$C$8*G62</f>
        <v>6417156.16875282</v>
      </c>
      <c r="I62" s="58" t="n">
        <f aca="false">H62*Inputs!$B$34*Inputs!$B$35</f>
        <v>770058740.250339</v>
      </c>
      <c r="J62" s="58" t="n">
        <f aca="false">MIN(I62,'Voyage Model'!$C$19)</f>
        <v>29991554.0540541</v>
      </c>
      <c r="K62" s="58" t="n">
        <f aca="false">MAX(0,I62-'Voyage Model'!$C$19)</f>
        <v>740067186.196285</v>
      </c>
      <c r="L62" s="63" t="n">
        <f aca="false">IF('Voyage Model'!$C$19=0,0,I62/'Voyage Model'!$C$19)</f>
        <v>25.6758532372966</v>
      </c>
      <c r="M62" s="58" t="n">
        <f aca="false">J62/(Inputs!$B$34*Inputs!$B$35)</f>
        <v>249929.617117117</v>
      </c>
      <c r="N62" s="58" t="n">
        <f aca="false">K62/(Inputs!$B$34*Inputs!$B$35)</f>
        <v>6167226.5516357</v>
      </c>
      <c r="O62" s="35" t="n">
        <f aca="false">MAX(0,'Voyage Model'!$C$19-I62)/Inputs!$B$33/1000</f>
        <v>0</v>
      </c>
    </row>
    <row r="63" customFormat="false" ht="15" hidden="false" customHeight="false" outlineLevel="0" collapsed="false">
      <c r="A63" s="62" t="n">
        <v>0.029</v>
      </c>
      <c r="B63" s="63" t="n">
        <f aca="false">L63</f>
        <v>25.9615896829227</v>
      </c>
      <c r="C63" s="35" t="n">
        <f aca="false">M63/1000/(IF(Inputs!$B$43="Per day",'Voyage Model'!$C$6,1))</f>
        <v>249.929617117117</v>
      </c>
      <c r="D63" s="35" t="n">
        <f aca="false">N63/1000/(IF(Inputs!$B$43="Per day",'Voyage Model'!$C$6,1))</f>
        <v>6238.64055208745</v>
      </c>
      <c r="E63" s="35" t="n">
        <f aca="false">O63/(IF(Inputs!$B$43="Per day",'Voyage Model'!$C$6,1))</f>
        <v>0</v>
      </c>
      <c r="G63" s="61" t="n">
        <f aca="false">1-(1-A63)^'Voyage Model'!$C$6</f>
        <v>0.584480046661024</v>
      </c>
      <c r="H63" s="58" t="n">
        <f aca="false">'Voyage Model'!$C$8*G63</f>
        <v>6488570.16920456</v>
      </c>
      <c r="I63" s="58" t="n">
        <f aca="false">H63*Inputs!$B$34*Inputs!$B$35</f>
        <v>778628420.304548</v>
      </c>
      <c r="J63" s="58" t="n">
        <f aca="false">MIN(I63,'Voyage Model'!$C$19)</f>
        <v>29991554.0540541</v>
      </c>
      <c r="K63" s="58" t="n">
        <f aca="false">MAX(0,I63-'Voyage Model'!$C$19)</f>
        <v>748636866.250494</v>
      </c>
      <c r="L63" s="63" t="n">
        <f aca="false">IF('Voyage Model'!$C$19=0,0,I63/'Voyage Model'!$C$19)</f>
        <v>25.9615896829227</v>
      </c>
      <c r="M63" s="58" t="n">
        <f aca="false">J63/(Inputs!$B$34*Inputs!$B$35)</f>
        <v>249929.617117117</v>
      </c>
      <c r="N63" s="58" t="n">
        <f aca="false">K63/(Inputs!$B$34*Inputs!$B$35)</f>
        <v>6238640.55208745</v>
      </c>
      <c r="O63" s="35" t="n">
        <f aca="false">MAX(0,'Voyage Model'!$C$19-I63)/Inputs!$B$33/1000</f>
        <v>0</v>
      </c>
    </row>
    <row r="64" customFormat="false" ht="15" hidden="false" customHeight="false" outlineLevel="0" collapsed="false">
      <c r="A64" s="62" t="n">
        <v>0.0295</v>
      </c>
      <c r="B64" s="63" t="n">
        <f aca="false">L64</f>
        <v>26.2431137670765</v>
      </c>
      <c r="C64" s="35" t="n">
        <f aca="false">M64/1000/(IF(Inputs!$B$43="Per day",'Voyage Model'!$C$6,1))</f>
        <v>249.929617117117</v>
      </c>
      <c r="D64" s="35" t="n">
        <f aca="false">N64/1000/(IF(Inputs!$B$43="Per day",'Voyage Model'!$C$6,1))</f>
        <v>6309.00175864926</v>
      </c>
      <c r="E64" s="35" t="n">
        <f aca="false">O64/(IF(Inputs!$B$43="Per day",'Voyage Model'!$C$6,1))</f>
        <v>0</v>
      </c>
      <c r="G64" s="61" t="n">
        <f aca="false">1-(1-A64)^'Voyage Model'!$C$6</f>
        <v>0.590818071868729</v>
      </c>
      <c r="H64" s="58" t="n">
        <f aca="false">'Voyage Model'!$C$8*G64</f>
        <v>6558931.37576638</v>
      </c>
      <c r="I64" s="58" t="n">
        <f aca="false">H64*Inputs!$B$34*Inputs!$B$35</f>
        <v>787071765.091965</v>
      </c>
      <c r="J64" s="58" t="n">
        <f aca="false">MIN(I64,'Voyage Model'!$C$19)</f>
        <v>29991554.0540541</v>
      </c>
      <c r="K64" s="58" t="n">
        <f aca="false">MAX(0,I64-'Voyage Model'!$C$19)</f>
        <v>757080211.037911</v>
      </c>
      <c r="L64" s="63" t="n">
        <f aca="false">IF('Voyage Model'!$C$19=0,0,I64/'Voyage Model'!$C$19)</f>
        <v>26.2431137670765</v>
      </c>
      <c r="M64" s="58" t="n">
        <f aca="false">J64/(Inputs!$B$34*Inputs!$B$35)</f>
        <v>249929.617117117</v>
      </c>
      <c r="N64" s="58" t="n">
        <f aca="false">K64/(Inputs!$B$34*Inputs!$B$35)</f>
        <v>6309001.75864926</v>
      </c>
      <c r="O64" s="35" t="n">
        <f aca="false">MAX(0,'Voyage Model'!$C$19-I64)/Inputs!$B$33/1000</f>
        <v>0</v>
      </c>
    </row>
    <row r="65" customFormat="false" ht="15" hidden="false" customHeight="false" outlineLevel="0" collapsed="false">
      <c r="A65" s="62" t="n">
        <v>0.03</v>
      </c>
      <c r="B65" s="63" t="n">
        <f aca="false">L65</f>
        <v>26.5204854665451</v>
      </c>
      <c r="C65" s="35" t="n">
        <f aca="false">M65/1000/(IF(Inputs!$B$43="Per day",'Voyage Model'!$C$6,1))</f>
        <v>249.929617117117</v>
      </c>
      <c r="D65" s="35" t="n">
        <f aca="false">N65/1000/(IF(Inputs!$B$43="Per day",'Voyage Model'!$C$6,1))</f>
        <v>6378.32516129657</v>
      </c>
      <c r="E65" s="35" t="n">
        <f aca="false">O65/(IF(Inputs!$B$43="Per day",'Voyage Model'!$C$6,1))</f>
        <v>0</v>
      </c>
      <c r="G65" s="61" t="n">
        <f aca="false">1-(1-A65)^'Voyage Model'!$C$6</f>
        <v>0.597062613355897</v>
      </c>
      <c r="H65" s="58" t="n">
        <f aca="false">'Voyage Model'!$C$8*G65</f>
        <v>6628254.77841369</v>
      </c>
      <c r="I65" s="58" t="n">
        <f aca="false">H65*Inputs!$B$34*Inputs!$B$35</f>
        <v>795390573.409643</v>
      </c>
      <c r="J65" s="58" t="n">
        <f aca="false">MIN(I65,'Voyage Model'!$C$19)</f>
        <v>29991554.0540541</v>
      </c>
      <c r="K65" s="58" t="n">
        <f aca="false">MAX(0,I65-'Voyage Model'!$C$19)</f>
        <v>765399019.355589</v>
      </c>
      <c r="L65" s="63" t="n">
        <f aca="false">IF('Voyage Model'!$C$19=0,0,I65/'Voyage Model'!$C$19)</f>
        <v>26.5204854665451</v>
      </c>
      <c r="M65" s="58" t="n">
        <f aca="false">J65/(Inputs!$B$34*Inputs!$B$35)</f>
        <v>249929.617117117</v>
      </c>
      <c r="N65" s="58" t="n">
        <f aca="false">K65/(Inputs!$B$34*Inputs!$B$35)</f>
        <v>6378325.16129657</v>
      </c>
      <c r="O65" s="35" t="n">
        <f aca="false">MAX(0,'Voyage Model'!$C$19-I65)/Inputs!$B$33/1000</f>
        <v>0</v>
      </c>
    </row>
    <row r="66" customFormat="false" ht="15" hidden="false" customHeight="false" outlineLevel="0" collapsed="false">
      <c r="A66" s="62" t="n">
        <v>0.0305</v>
      </c>
      <c r="B66" s="63" t="n">
        <f aca="false">L66</f>
        <v>26.7937639343987</v>
      </c>
      <c r="C66" s="35" t="n">
        <f aca="false">M66/1000/(IF(Inputs!$B$43="Per day",'Voyage Model'!$C$6,1))</f>
        <v>249.929617117117</v>
      </c>
      <c r="D66" s="35" t="n">
        <f aca="false">N66/1000/(IF(Inputs!$B$43="Per day",'Voyage Model'!$C$6,1))</f>
        <v>6446.62554413356</v>
      </c>
      <c r="E66" s="35" t="n">
        <f aca="false">O66/(IF(Inputs!$B$43="Per day",'Voyage Model'!$C$6,1))</f>
        <v>0</v>
      </c>
      <c r="G66" s="61" t="n">
        <f aca="false">1-(1-A66)^'Voyage Model'!$C$6</f>
        <v>0.603215002851043</v>
      </c>
      <c r="H66" s="58" t="n">
        <f aca="false">'Voyage Model'!$C$8*G66</f>
        <v>6696555.16125068</v>
      </c>
      <c r="I66" s="58" t="n">
        <f aca="false">H66*Inputs!$B$34*Inputs!$B$35</f>
        <v>803586619.350082</v>
      </c>
      <c r="J66" s="58" t="n">
        <f aca="false">MIN(I66,'Voyage Model'!$C$19)</f>
        <v>29991554.0540541</v>
      </c>
      <c r="K66" s="58" t="n">
        <f aca="false">MAX(0,I66-'Voyage Model'!$C$19)</f>
        <v>773595065.296028</v>
      </c>
      <c r="L66" s="63" t="n">
        <f aca="false">IF('Voyage Model'!$C$19=0,0,I66/'Voyage Model'!$C$19)</f>
        <v>26.7937639343987</v>
      </c>
      <c r="M66" s="58" t="n">
        <f aca="false">J66/(Inputs!$B$34*Inputs!$B$35)</f>
        <v>249929.617117117</v>
      </c>
      <c r="N66" s="58" t="n">
        <f aca="false">K66/(Inputs!$B$34*Inputs!$B$35)</f>
        <v>6446625.54413356</v>
      </c>
      <c r="O66" s="35" t="n">
        <f aca="false">MAX(0,'Voyage Model'!$C$19-I66)/Inputs!$B$33/1000</f>
        <v>0</v>
      </c>
    </row>
    <row r="67" customFormat="false" ht="15" hidden="false" customHeight="false" outlineLevel="0" collapsed="false">
      <c r="A67" s="62" t="n">
        <v>0.031</v>
      </c>
      <c r="B67" s="63" t="n">
        <f aca="false">L67</f>
        <v>27.0630075108879</v>
      </c>
      <c r="C67" s="35" t="n">
        <f aca="false">M67/1000/(IF(Inputs!$B$43="Per day",'Voyage Model'!$C$6,1))</f>
        <v>249.929617117117</v>
      </c>
      <c r="D67" s="35" t="n">
        <f aca="false">N67/1000/(IF(Inputs!$B$43="Per day",'Voyage Model'!$C$6,1))</f>
        <v>6513.91748811676</v>
      </c>
      <c r="E67" s="35" t="n">
        <f aca="false">O67/(IF(Inputs!$B$43="Per day",'Voyage Model'!$C$6,1))</f>
        <v>0</v>
      </c>
      <c r="G67" s="61" t="n">
        <f aca="false">1-(1-A67)^'Voyage Model'!$C$6</f>
        <v>0.609276553783462</v>
      </c>
      <c r="H67" s="58" t="n">
        <f aca="false">'Voyage Model'!$C$8*G67</f>
        <v>6763847.10523388</v>
      </c>
      <c r="I67" s="58" t="n">
        <f aca="false">H67*Inputs!$B$34*Inputs!$B$35</f>
        <v>811661652.628065</v>
      </c>
      <c r="J67" s="58" t="n">
        <f aca="false">MIN(I67,'Voyage Model'!$C$19)</f>
        <v>29991554.0540541</v>
      </c>
      <c r="K67" s="58" t="n">
        <f aca="false">MAX(0,I67-'Voyage Model'!$C$19)</f>
        <v>781670098.574011</v>
      </c>
      <c r="L67" s="63" t="n">
        <f aca="false">IF('Voyage Model'!$C$19=0,0,I67/'Voyage Model'!$C$19)</f>
        <v>27.0630075108879</v>
      </c>
      <c r="M67" s="58" t="n">
        <f aca="false">J67/(Inputs!$B$34*Inputs!$B$35)</f>
        <v>249929.617117117</v>
      </c>
      <c r="N67" s="58" t="n">
        <f aca="false">K67/(Inputs!$B$34*Inputs!$B$35)</f>
        <v>6513917.48811676</v>
      </c>
      <c r="O67" s="35" t="n">
        <f aca="false">MAX(0,'Voyage Model'!$C$19-I67)/Inputs!$B$33/1000</f>
        <v>0</v>
      </c>
    </row>
    <row r="68" customFormat="false" ht="15" hidden="false" customHeight="false" outlineLevel="0" collapsed="false">
      <c r="A68" s="62" t="n">
        <v>0.0315</v>
      </c>
      <c r="B68" s="63" t="n">
        <f aca="false">L68</f>
        <v>27.328273734202</v>
      </c>
      <c r="C68" s="35" t="n">
        <f aca="false">M68/1000/(IF(Inputs!$B$43="Per day",'Voyage Model'!$C$6,1))</f>
        <v>249.929617117117</v>
      </c>
      <c r="D68" s="35" t="n">
        <f aca="false">N68/1000/(IF(Inputs!$B$43="Per day",'Voyage Model'!$C$6,1))</f>
        <v>6580.21537374376</v>
      </c>
      <c r="E68" s="35" t="n">
        <f aca="false">O68/(IF(Inputs!$B$43="Per day",'Voyage Model'!$C$6,1))</f>
        <v>0</v>
      </c>
      <c r="G68" s="61" t="n">
        <f aca="false">1-(1-A68)^'Voyage Model'!$C$6</f>
        <v>0.61524856152543</v>
      </c>
      <c r="H68" s="58" t="n">
        <f aca="false">'Voyage Model'!$C$8*G68</f>
        <v>6830144.99086087</v>
      </c>
      <c r="I68" s="58" t="n">
        <f aca="false">H68*Inputs!$B$34*Inputs!$B$35</f>
        <v>819617398.903305</v>
      </c>
      <c r="J68" s="58" t="n">
        <f aca="false">MIN(I68,'Voyage Model'!$C$19)</f>
        <v>29991554.0540541</v>
      </c>
      <c r="K68" s="58" t="n">
        <f aca="false">MAX(0,I68-'Voyage Model'!$C$19)</f>
        <v>789625844.849251</v>
      </c>
      <c r="L68" s="63" t="n">
        <f aca="false">IF('Voyage Model'!$C$19=0,0,I68/'Voyage Model'!$C$19)</f>
        <v>27.328273734202</v>
      </c>
      <c r="M68" s="58" t="n">
        <f aca="false">J68/(Inputs!$B$34*Inputs!$B$35)</f>
        <v>249929.617117117</v>
      </c>
      <c r="N68" s="58" t="n">
        <f aca="false">K68/(Inputs!$B$34*Inputs!$B$35)</f>
        <v>6580215.37374376</v>
      </c>
      <c r="O68" s="35" t="n">
        <f aca="false">MAX(0,'Voyage Model'!$C$19-I68)/Inputs!$B$33/1000</f>
        <v>0</v>
      </c>
    </row>
    <row r="69" customFormat="false" ht="15" hidden="false" customHeight="false" outlineLevel="0" collapsed="false">
      <c r="A69" s="62" t="n">
        <v>0.032</v>
      </c>
      <c r="B69" s="63" t="n">
        <f aca="false">L69</f>
        <v>27.5896193510904</v>
      </c>
      <c r="C69" s="35" t="n">
        <f aca="false">M69/1000/(IF(Inputs!$B$43="Per day",'Voyage Model'!$C$6,1))</f>
        <v>249.929617117117</v>
      </c>
      <c r="D69" s="35" t="n">
        <f aca="false">N69/1000/(IF(Inputs!$B$43="Per day",'Voyage Model'!$C$6,1))</f>
        <v>6645.53338370792</v>
      </c>
      <c r="E69" s="35" t="n">
        <f aca="false">O69/(IF(Inputs!$B$43="Per day",'Voyage Model'!$C$6,1))</f>
        <v>0</v>
      </c>
      <c r="G69" s="61" t="n">
        <f aca="false">1-(1-A69)^'Voyage Model'!$C$6</f>
        <v>0.621132303631334</v>
      </c>
      <c r="H69" s="58" t="n">
        <f aca="false">'Voyage Model'!$C$8*G69</f>
        <v>6895463.00082503</v>
      </c>
      <c r="I69" s="58" t="n">
        <f aca="false">H69*Inputs!$B$34*Inputs!$B$35</f>
        <v>827455560.099004</v>
      </c>
      <c r="J69" s="58" t="n">
        <f aca="false">MIN(I69,'Voyage Model'!$C$19)</f>
        <v>29991554.0540541</v>
      </c>
      <c r="K69" s="58" t="n">
        <f aca="false">MAX(0,I69-'Voyage Model'!$C$19)</f>
        <v>797464006.04495</v>
      </c>
      <c r="L69" s="63" t="n">
        <f aca="false">IF('Voyage Model'!$C$19=0,0,I69/'Voyage Model'!$C$19)</f>
        <v>27.5896193510904</v>
      </c>
      <c r="M69" s="58" t="n">
        <f aca="false">J69/(Inputs!$B$34*Inputs!$B$35)</f>
        <v>249929.617117117</v>
      </c>
      <c r="N69" s="58" t="n">
        <f aca="false">K69/(Inputs!$B$34*Inputs!$B$35)</f>
        <v>6645533.38370792</v>
      </c>
      <c r="O69" s="35" t="n">
        <f aca="false">MAX(0,'Voyage Model'!$C$19-I69)/Inputs!$B$33/1000</f>
        <v>0</v>
      </c>
    </row>
    <row r="70" customFormat="false" ht="15" hidden="false" customHeight="false" outlineLevel="0" collapsed="false">
      <c r="A70" s="62" t="n">
        <v>0.0325</v>
      </c>
      <c r="B70" s="63" t="n">
        <f aca="false">L70</f>
        <v>27.8471003273486</v>
      </c>
      <c r="C70" s="35" t="n">
        <f aca="false">M70/1000/(IF(Inputs!$B$43="Per day",'Voyage Model'!$C$6,1))</f>
        <v>249.929617117117</v>
      </c>
      <c r="D70" s="35" t="n">
        <f aca="false">N70/1000/(IF(Inputs!$B$43="Per day",'Voyage Model'!$C$6,1))</f>
        <v>6709.88550551906</v>
      </c>
      <c r="E70" s="35" t="n">
        <f aca="false">O70/(IF(Inputs!$B$43="Per day",'Voyage Model'!$C$6,1))</f>
        <v>0</v>
      </c>
      <c r="G70" s="61" t="n">
        <f aca="false">1-(1-A70)^'Voyage Model'!$C$6</f>
        <v>0.626929040073737</v>
      </c>
      <c r="H70" s="58" t="n">
        <f aca="false">'Voyage Model'!$C$8*G70</f>
        <v>6959815.12263618</v>
      </c>
      <c r="I70" s="58" t="n">
        <f aca="false">H70*Inputs!$B$34*Inputs!$B$35</f>
        <v>835177814.716342</v>
      </c>
      <c r="J70" s="58" t="n">
        <f aca="false">MIN(I70,'Voyage Model'!$C$19)</f>
        <v>29991554.0540541</v>
      </c>
      <c r="K70" s="58" t="n">
        <f aca="false">MAX(0,I70-'Voyage Model'!$C$19)</f>
        <v>805186260.662288</v>
      </c>
      <c r="L70" s="63" t="n">
        <f aca="false">IF('Voyage Model'!$C$19=0,0,I70/'Voyage Model'!$C$19)</f>
        <v>27.8471003273486</v>
      </c>
      <c r="M70" s="58" t="n">
        <f aca="false">J70/(Inputs!$B$34*Inputs!$B$35)</f>
        <v>249929.617117117</v>
      </c>
      <c r="N70" s="58" t="n">
        <f aca="false">K70/(Inputs!$B$34*Inputs!$B$35)</f>
        <v>6709885.50551906</v>
      </c>
      <c r="O70" s="35" t="n">
        <f aca="false">MAX(0,'Voyage Model'!$C$19-I70)/Inputs!$B$33/1000</f>
        <v>0</v>
      </c>
    </row>
    <row r="71" customFormat="false" ht="15" hidden="false" customHeight="false" outlineLevel="0" collapsed="false">
      <c r="A71" s="62" t="n">
        <v>0.033</v>
      </c>
      <c r="B71" s="63" t="n">
        <f aca="false">L71</f>
        <v>28.1007718581708</v>
      </c>
      <c r="C71" s="35" t="n">
        <f aca="false">M71/1000/(IF(Inputs!$B$43="Per day",'Voyage Model'!$C$6,1))</f>
        <v>249.929617117117</v>
      </c>
      <c r="D71" s="35" t="n">
        <f aca="false">N71/1000/(IF(Inputs!$B$43="Per day",'Voyage Model'!$C$6,1))</f>
        <v>6773.28553409098</v>
      </c>
      <c r="E71" s="35" t="n">
        <f aca="false">O71/(IF(Inputs!$B$43="Per day",'Voyage Model'!$C$6,1))</f>
        <v>0</v>
      </c>
      <c r="G71" s="61" t="n">
        <f aca="false">1-(1-A71)^'Voyage Model'!$C$6</f>
        <v>0.632640013476458</v>
      </c>
      <c r="H71" s="58" t="n">
        <f aca="false">'Voyage Model'!$C$8*G71</f>
        <v>7023215.15120809</v>
      </c>
      <c r="I71" s="58" t="n">
        <f aca="false">H71*Inputs!$B$34*Inputs!$B$35</f>
        <v>842785818.144971</v>
      </c>
      <c r="J71" s="58" t="n">
        <f aca="false">MIN(I71,'Voyage Model'!$C$19)</f>
        <v>29991554.0540541</v>
      </c>
      <c r="K71" s="58" t="n">
        <f aca="false">MAX(0,I71-'Voyage Model'!$C$19)</f>
        <v>812794264.090917</v>
      </c>
      <c r="L71" s="63" t="n">
        <f aca="false">IF('Voyage Model'!$C$19=0,0,I71/'Voyage Model'!$C$19)</f>
        <v>28.1007718581708</v>
      </c>
      <c r="M71" s="58" t="n">
        <f aca="false">J71/(Inputs!$B$34*Inputs!$B$35)</f>
        <v>249929.617117117</v>
      </c>
      <c r="N71" s="58" t="n">
        <f aca="false">K71/(Inputs!$B$34*Inputs!$B$35)</f>
        <v>6773285.53409097</v>
      </c>
      <c r="O71" s="35" t="n">
        <f aca="false">MAX(0,'Voyage Model'!$C$19-I71)/Inputs!$B$33/1000</f>
        <v>0</v>
      </c>
    </row>
    <row r="72" customFormat="false" ht="15" hidden="false" customHeight="false" outlineLevel="0" collapsed="false">
      <c r="A72" s="62" t="n">
        <v>0.0335</v>
      </c>
      <c r="B72" s="63" t="n">
        <f aca="false">L72</f>
        <v>28.3506883783702</v>
      </c>
      <c r="C72" s="35" t="n">
        <f aca="false">M72/1000/(IF(Inputs!$B$43="Per day",'Voyage Model'!$C$6,1))</f>
        <v>249.929617117117</v>
      </c>
      <c r="D72" s="35" t="n">
        <f aca="false">N72/1000/(IF(Inputs!$B$43="Per day",'Voyage Model'!$C$6,1))</f>
        <v>6835.74707429566</v>
      </c>
      <c r="E72" s="35" t="n">
        <f aca="false">O72/(IF(Inputs!$B$43="Per day",'Voyage Model'!$C$6,1))</f>
        <v>0</v>
      </c>
      <c r="G72" s="61" t="n">
        <f aca="false">1-(1-A72)^'Voyage Model'!$C$6</f>
        <v>0.638266449344659</v>
      </c>
      <c r="H72" s="58" t="n">
        <f aca="false">'Voyage Model'!$C$8*G72</f>
        <v>7085676.69141278</v>
      </c>
      <c r="I72" s="58" t="n">
        <f aca="false">H72*Inputs!$B$34*Inputs!$B$35</f>
        <v>850281202.969533</v>
      </c>
      <c r="J72" s="58" t="n">
        <f aca="false">MIN(I72,'Voyage Model'!$C$19)</f>
        <v>29991554.0540541</v>
      </c>
      <c r="K72" s="58" t="n">
        <f aca="false">MAX(0,I72-'Voyage Model'!$C$19)</f>
        <v>820289648.915479</v>
      </c>
      <c r="L72" s="63" t="n">
        <f aca="false">IF('Voyage Model'!$C$19=0,0,I72/'Voyage Model'!$C$19)</f>
        <v>28.3506883783702</v>
      </c>
      <c r="M72" s="58" t="n">
        <f aca="false">J72/(Inputs!$B$34*Inputs!$B$35)</f>
        <v>249929.617117117</v>
      </c>
      <c r="N72" s="58" t="n">
        <f aca="false">K72/(Inputs!$B$34*Inputs!$B$35)</f>
        <v>6835747.07429566</v>
      </c>
      <c r="O72" s="35" t="n">
        <f aca="false">MAX(0,'Voyage Model'!$C$19-I72)/Inputs!$B$33/1000</f>
        <v>0</v>
      </c>
    </row>
    <row r="73" customFormat="false" ht="15" hidden="false" customHeight="false" outlineLevel="0" collapsed="false">
      <c r="A73" s="62" t="n">
        <v>0.034</v>
      </c>
      <c r="B73" s="63" t="n">
        <f aca="false">L73</f>
        <v>28.5969035724695</v>
      </c>
      <c r="C73" s="35" t="n">
        <f aca="false">M73/1000/(IF(Inputs!$B$43="Per day",'Voyage Model'!$C$6,1))</f>
        <v>249.929617117117</v>
      </c>
      <c r="D73" s="35" t="n">
        <f aca="false">N73/1000/(IF(Inputs!$B$43="Per day",'Voyage Model'!$C$6,1))</f>
        <v>6897.28354348531</v>
      </c>
      <c r="E73" s="35" t="n">
        <f aca="false">O73/(IF(Inputs!$B$43="Per day",'Voyage Model'!$C$6,1))</f>
        <v>0</v>
      </c>
      <c r="G73" s="61" t="n">
        <f aca="false">1-(1-A73)^'Voyage Model'!$C$6</f>
        <v>0.643809556292015</v>
      </c>
      <c r="H73" s="58" t="n">
        <f aca="false">'Voyage Model'!$C$8*G73</f>
        <v>7147213.16060242</v>
      </c>
      <c r="I73" s="58" t="n">
        <f aca="false">H73*Inputs!$B$34*Inputs!$B$35</f>
        <v>857665579.272291</v>
      </c>
      <c r="J73" s="58" t="n">
        <f aca="false">MIN(I73,'Voyage Model'!$C$19)</f>
        <v>29991554.0540541</v>
      </c>
      <c r="K73" s="58" t="n">
        <f aca="false">MAX(0,I73-'Voyage Model'!$C$19)</f>
        <v>827674025.218237</v>
      </c>
      <c r="L73" s="63" t="n">
        <f aca="false">IF('Voyage Model'!$C$19=0,0,I73/'Voyage Model'!$C$19)</f>
        <v>28.5969035724695</v>
      </c>
      <c r="M73" s="58" t="n">
        <f aca="false">J73/(Inputs!$B$34*Inputs!$B$35)</f>
        <v>249929.617117117</v>
      </c>
      <c r="N73" s="58" t="n">
        <f aca="false">K73/(Inputs!$B$34*Inputs!$B$35)</f>
        <v>6897283.54348531</v>
      </c>
      <c r="O73" s="35" t="n">
        <f aca="false">MAX(0,'Voyage Model'!$C$19-I73)/Inputs!$B$33/1000</f>
        <v>0</v>
      </c>
    </row>
    <row r="74" customFormat="false" ht="15" hidden="false" customHeight="false" outlineLevel="0" collapsed="false">
      <c r="A74" s="62" t="n">
        <v>0.0345</v>
      </c>
      <c r="B74" s="63" t="n">
        <f aca="false">L74</f>
        <v>28.8394703846616</v>
      </c>
      <c r="C74" s="35" t="n">
        <f aca="false">M74/1000/(IF(Inputs!$B$43="Per day",'Voyage Model'!$C$6,1))</f>
        <v>249.929617117117</v>
      </c>
      <c r="D74" s="35" t="n">
        <f aca="false">N74/1000/(IF(Inputs!$B$43="Per day",'Voyage Model'!$C$6,1))</f>
        <v>6957.9081739818</v>
      </c>
      <c r="E74" s="35" t="n">
        <f aca="false">O74/(IF(Inputs!$B$43="Per day",'Voyage Model'!$C$6,1))</f>
        <v>0</v>
      </c>
      <c r="G74" s="61" t="n">
        <f aca="false">1-(1-A74)^'Voyage Model'!$C$6</f>
        <v>0.649270526264963</v>
      </c>
      <c r="H74" s="58" t="n">
        <f aca="false">'Voyage Model'!$C$8*G74</f>
        <v>7207837.79109891</v>
      </c>
      <c r="I74" s="58" t="n">
        <f aca="false">H74*Inputs!$B$34*Inputs!$B$35</f>
        <v>864940534.93187</v>
      </c>
      <c r="J74" s="58" t="n">
        <f aca="false">MIN(I74,'Voyage Model'!$C$19)</f>
        <v>29991554.0540541</v>
      </c>
      <c r="K74" s="58" t="n">
        <f aca="false">MAX(0,I74-'Voyage Model'!$C$19)</f>
        <v>834948980.877816</v>
      </c>
      <c r="L74" s="63" t="n">
        <f aca="false">IF('Voyage Model'!$C$19=0,0,I74/'Voyage Model'!$C$19)</f>
        <v>28.8394703846616</v>
      </c>
      <c r="M74" s="58" t="n">
        <f aca="false">J74/(Inputs!$B$34*Inputs!$B$35)</f>
        <v>249929.617117117</v>
      </c>
      <c r="N74" s="58" t="n">
        <f aca="false">K74/(Inputs!$B$34*Inputs!$B$35)</f>
        <v>6957908.1739818</v>
      </c>
      <c r="O74" s="35" t="n">
        <f aca="false">MAX(0,'Voyage Model'!$C$19-I74)/Inputs!$B$33/1000</f>
        <v>0</v>
      </c>
    </row>
    <row r="75" customFormat="false" ht="15" hidden="false" customHeight="false" outlineLevel="0" collapsed="false">
      <c r="A75" s="62" t="n">
        <v>0.035</v>
      </c>
      <c r="B75" s="63" t="n">
        <f aca="false">L75</f>
        <v>29.0784410286444</v>
      </c>
      <c r="C75" s="35" t="n">
        <f aca="false">M75/1000/(IF(Inputs!$B$43="Per day",'Voyage Model'!$C$6,1))</f>
        <v>249.929617117117</v>
      </c>
      <c r="D75" s="35" t="n">
        <f aca="false">N75/1000/(IF(Inputs!$B$43="Per day",'Voyage Model'!$C$6,1))</f>
        <v>7017.63401553465</v>
      </c>
      <c r="E75" s="35" t="n">
        <f aca="false">O75/(IF(Inputs!$B$43="Per day",'Voyage Model'!$C$6,1))</f>
        <v>0</v>
      </c>
      <c r="G75" s="61" t="n">
        <f aca="false">1-(1-A75)^'Voyage Model'!$C$6</f>
        <v>0.654650534764117</v>
      </c>
      <c r="H75" s="58" t="n">
        <f aca="false">'Voyage Model'!$C$8*G75</f>
        <v>7267563.63265176</v>
      </c>
      <c r="I75" s="58" t="n">
        <f aca="false">H75*Inputs!$B$34*Inputs!$B$35</f>
        <v>872107635.918212</v>
      </c>
      <c r="J75" s="58" t="n">
        <f aca="false">MIN(I75,'Voyage Model'!$C$19)</f>
        <v>29991554.0540541</v>
      </c>
      <c r="K75" s="58" t="n">
        <f aca="false">MAX(0,I75-'Voyage Model'!$C$19)</f>
        <v>842116081.864157</v>
      </c>
      <c r="L75" s="63" t="n">
        <f aca="false">IF('Voyage Model'!$C$19=0,0,I75/'Voyage Model'!$C$19)</f>
        <v>29.0784410286444</v>
      </c>
      <c r="M75" s="58" t="n">
        <f aca="false">J75/(Inputs!$B$34*Inputs!$B$35)</f>
        <v>249929.617117117</v>
      </c>
      <c r="N75" s="58" t="n">
        <f aca="false">K75/(Inputs!$B$34*Inputs!$B$35)</f>
        <v>7017634.01553465</v>
      </c>
      <c r="O75" s="35" t="n">
        <f aca="false">MAX(0,'Voyage Model'!$C$19-I75)/Inputs!$B$33/1000</f>
        <v>0</v>
      </c>
    </row>
    <row r="76" customFormat="false" ht="15" hidden="false" customHeight="false" outlineLevel="0" collapsed="false">
      <c r="A76" s="62" t="n">
        <v>0.0355</v>
      </c>
      <c r="B76" s="63" t="n">
        <f aca="false">L76</f>
        <v>29.3138669973287</v>
      </c>
      <c r="C76" s="35" t="n">
        <f aca="false">M76/1000/(IF(Inputs!$B$43="Per day",'Voyage Model'!$C$6,1))</f>
        <v>249.929617117117</v>
      </c>
      <c r="D76" s="35" t="n">
        <f aca="false">N76/1000/(IF(Inputs!$B$43="Per day",'Voyage Model'!$C$6,1))</f>
        <v>7076.47393774735</v>
      </c>
      <c r="E76" s="35" t="n">
        <f aca="false">O76/(IF(Inputs!$B$43="Per day",'Voyage Model'!$C$6,1))</f>
        <v>0</v>
      </c>
      <c r="G76" s="61" t="n">
        <f aca="false">1-(1-A76)^'Voyage Model'!$C$6</f>
        <v>0.659950741062823</v>
      </c>
      <c r="H76" s="58" t="n">
        <f aca="false">'Voyage Model'!$C$8*G76</f>
        <v>7326403.55486447</v>
      </c>
      <c r="I76" s="58" t="n">
        <f aca="false">H76*Inputs!$B$34*Inputs!$B$35</f>
        <v>879168426.583736</v>
      </c>
      <c r="J76" s="58" t="n">
        <f aca="false">MIN(I76,'Voyage Model'!$C$19)</f>
        <v>29991554.0540541</v>
      </c>
      <c r="K76" s="58" t="n">
        <f aca="false">MAX(0,I76-'Voyage Model'!$C$19)</f>
        <v>849176872.529682</v>
      </c>
      <c r="L76" s="63" t="n">
        <f aca="false">IF('Voyage Model'!$C$19=0,0,I76/'Voyage Model'!$C$19)</f>
        <v>29.3138669973287</v>
      </c>
      <c r="M76" s="58" t="n">
        <f aca="false">J76/(Inputs!$B$34*Inputs!$B$35)</f>
        <v>249929.617117117</v>
      </c>
      <c r="N76" s="58" t="n">
        <f aca="false">K76/(Inputs!$B$34*Inputs!$B$35)</f>
        <v>7076473.93774735</v>
      </c>
      <c r="O76" s="35" t="n">
        <f aca="false">MAX(0,'Voyage Model'!$C$19-I76)/Inputs!$B$33/1000</f>
        <v>0</v>
      </c>
    </row>
    <row r="77" customFormat="false" ht="15" hidden="false" customHeight="false" outlineLevel="0" collapsed="false">
      <c r="A77" s="62" t="n">
        <v>0.036</v>
      </c>
      <c r="B77" s="63" t="n">
        <f aca="false">L77</f>
        <v>29.5457990724232</v>
      </c>
      <c r="C77" s="35" t="n">
        <f aca="false">M77/1000/(IF(Inputs!$B$43="Per day",'Voyage Model'!$C$6,1))</f>
        <v>249.929617117117</v>
      </c>
      <c r="D77" s="35" t="n">
        <f aca="false">N77/1000/(IF(Inputs!$B$43="Per day",'Voyage Model'!$C$6,1))</f>
        <v>7134.4406324729</v>
      </c>
      <c r="E77" s="35" t="n">
        <f aca="false">O77/(IF(Inputs!$B$43="Per day",'Voyage Model'!$C$6,1))</f>
        <v>0</v>
      </c>
      <c r="G77" s="61" t="n">
        <f aca="false">1-(1-A77)^'Voyage Model'!$C$6</f>
        <v>0.665172288422945</v>
      </c>
      <c r="H77" s="58" t="n">
        <f aca="false">'Voyage Model'!$C$8*G77</f>
        <v>7384370.24959001</v>
      </c>
      <c r="I77" s="58" t="n">
        <f aca="false">H77*Inputs!$B$34*Inputs!$B$35</f>
        <v>886124429.950802</v>
      </c>
      <c r="J77" s="58" t="n">
        <f aca="false">MIN(I77,'Voyage Model'!$C$19)</f>
        <v>29991554.0540541</v>
      </c>
      <c r="K77" s="58" t="n">
        <f aca="false">MAX(0,I77-'Voyage Model'!$C$19)</f>
        <v>856132875.896748</v>
      </c>
      <c r="L77" s="63" t="n">
        <f aca="false">IF('Voyage Model'!$C$19=0,0,I77/'Voyage Model'!$C$19)</f>
        <v>29.5457990724232</v>
      </c>
      <c r="M77" s="58" t="n">
        <f aca="false">J77/(Inputs!$B$34*Inputs!$B$35)</f>
        <v>249929.617117117</v>
      </c>
      <c r="N77" s="58" t="n">
        <f aca="false">K77/(Inputs!$B$34*Inputs!$B$35)</f>
        <v>7134440.6324729</v>
      </c>
      <c r="O77" s="35" t="n">
        <f aca="false">MAX(0,'Voyage Model'!$C$19-I77)/Inputs!$B$33/1000</f>
        <v>0</v>
      </c>
    </row>
    <row r="78" customFormat="false" ht="15" hidden="false" customHeight="false" outlineLevel="0" collapsed="false">
      <c r="A78" s="62" t="n">
        <v>0.0365</v>
      </c>
      <c r="B78" s="63" t="n">
        <f aca="false">L78</f>
        <v>29.7742873338957</v>
      </c>
      <c r="C78" s="35" t="n">
        <f aca="false">M78/1000/(IF(Inputs!$B$43="Per day",'Voyage Model'!$C$6,1))</f>
        <v>249.929617117117</v>
      </c>
      <c r="D78" s="35" t="n">
        <f aca="false">N78/1000/(IF(Inputs!$B$43="Per day",'Voyage Model'!$C$6,1))</f>
        <v>7191.54661617846</v>
      </c>
      <c r="E78" s="35" t="n">
        <f aca="false">O78/(IF(Inputs!$B$43="Per day",'Voyage Model'!$C$6,1))</f>
        <v>0</v>
      </c>
      <c r="G78" s="61" t="n">
        <f aca="false">1-(1-A78)^'Voyage Model'!$C$6</f>
        <v>0.670316304307872</v>
      </c>
      <c r="H78" s="58" t="n">
        <f aca="false">'Voyage Model'!$C$8*G78</f>
        <v>7441476.23329558</v>
      </c>
      <c r="I78" s="58" t="n">
        <f aca="false">H78*Inputs!$B$34*Inputs!$B$35</f>
        <v>892977147.99547</v>
      </c>
      <c r="J78" s="58" t="n">
        <f aca="false">MIN(I78,'Voyage Model'!$C$19)</f>
        <v>29991554.0540541</v>
      </c>
      <c r="K78" s="58" t="n">
        <f aca="false">MAX(0,I78-'Voyage Model'!$C$19)</f>
        <v>862985593.941416</v>
      </c>
      <c r="L78" s="63" t="n">
        <f aca="false">IF('Voyage Model'!$C$19=0,0,I78/'Voyage Model'!$C$19)</f>
        <v>29.7742873338957</v>
      </c>
      <c r="M78" s="58" t="n">
        <f aca="false">J78/(Inputs!$B$34*Inputs!$B$35)</f>
        <v>249929.617117117</v>
      </c>
      <c r="N78" s="58" t="n">
        <f aca="false">K78/(Inputs!$B$34*Inputs!$B$35)</f>
        <v>7191546.61617846</v>
      </c>
      <c r="O78" s="35" t="n">
        <f aca="false">MAX(0,'Voyage Model'!$C$19-I78)/Inputs!$B$33/1000</f>
        <v>0</v>
      </c>
    </row>
    <row r="79" customFormat="false" ht="15" hidden="false" customHeight="false" outlineLevel="0" collapsed="false">
      <c r="A79" s="62" t="n">
        <v>0.037</v>
      </c>
      <c r="B79" s="63" t="n">
        <f aca="false">L79</f>
        <v>29.9993811693142</v>
      </c>
      <c r="C79" s="35" t="n">
        <f aca="false">M79/1000/(IF(Inputs!$B$43="Per day",'Voyage Model'!$C$6,1))</f>
        <v>249.929617117117</v>
      </c>
      <c r="D79" s="35" t="n">
        <f aca="false">N79/1000/(IF(Inputs!$B$43="Per day",'Voyage Model'!$C$6,1))</f>
        <v>7247.80423228004</v>
      </c>
      <c r="E79" s="35" t="n">
        <f aca="false">O79/(IF(Inputs!$B$43="Per day",'Voyage Model'!$C$6,1))</f>
        <v>0</v>
      </c>
      <c r="G79" s="61" t="n">
        <f aca="false">1-(1-A79)^'Voyage Model'!$C$6</f>
        <v>0.67538390059282</v>
      </c>
      <c r="H79" s="58" t="n">
        <f aca="false">'Voyage Model'!$C$8*G79</f>
        <v>7497733.84939716</v>
      </c>
      <c r="I79" s="58" t="n">
        <f aca="false">H79*Inputs!$B$34*Inputs!$B$35</f>
        <v>899728061.927659</v>
      </c>
      <c r="J79" s="58" t="n">
        <f aca="false">MIN(I79,'Voyage Model'!$C$19)</f>
        <v>29991554.0540541</v>
      </c>
      <c r="K79" s="58" t="n">
        <f aca="false">MAX(0,I79-'Voyage Model'!$C$19)</f>
        <v>869736507.873605</v>
      </c>
      <c r="L79" s="63" t="n">
        <f aca="false">IF('Voyage Model'!$C$19=0,0,I79/'Voyage Model'!$C$19)</f>
        <v>29.9993811693142</v>
      </c>
      <c r="M79" s="58" t="n">
        <f aca="false">J79/(Inputs!$B$34*Inputs!$B$35)</f>
        <v>249929.617117117</v>
      </c>
      <c r="N79" s="58" t="n">
        <f aca="false">K79/(Inputs!$B$34*Inputs!$B$35)</f>
        <v>7247804.23228004</v>
      </c>
      <c r="O79" s="35" t="n">
        <f aca="false">MAX(0,'Voyage Model'!$C$19-I79)/Inputs!$B$33/1000</f>
        <v>0</v>
      </c>
    </row>
    <row r="80" customFormat="false" ht="15" hidden="false" customHeight="false" outlineLevel="0" collapsed="false">
      <c r="A80" s="62" t="n">
        <v>0.0375</v>
      </c>
      <c r="B80" s="63" t="n">
        <f aca="false">L80</f>
        <v>30.221129283068</v>
      </c>
      <c r="C80" s="35" t="n">
        <f aca="false">M80/1000/(IF(Inputs!$B$43="Per day",'Voyage Model'!$C$6,1))</f>
        <v>249.929617117117</v>
      </c>
      <c r="D80" s="35" t="n">
        <f aca="false">N80/1000/(IF(Inputs!$B$43="Per day",'Voyage Model'!$C$6,1))</f>
        <v>7303.22565344697</v>
      </c>
      <c r="E80" s="35" t="n">
        <f aca="false">O80/(IF(Inputs!$B$43="Per day",'Voyage Model'!$C$6,1))</f>
        <v>0</v>
      </c>
      <c r="G80" s="61" t="n">
        <f aca="false">1-(1-A80)^'Voyage Model'!$C$6</f>
        <v>0.680376173772419</v>
      </c>
      <c r="H80" s="58" t="n">
        <f aca="false">'Voyage Model'!$C$8*G80</f>
        <v>7553155.27056408</v>
      </c>
      <c r="I80" s="58" t="n">
        <f aca="false">H80*Inputs!$B$34*Inputs!$B$35</f>
        <v>906378632.46769</v>
      </c>
      <c r="J80" s="58" t="n">
        <f aca="false">MIN(I80,'Voyage Model'!$C$19)</f>
        <v>29991554.0540541</v>
      </c>
      <c r="K80" s="58" t="n">
        <f aca="false">MAX(0,I80-'Voyage Model'!$C$19)</f>
        <v>876387078.413636</v>
      </c>
      <c r="L80" s="63" t="n">
        <f aca="false">IF('Voyage Model'!$C$19=0,0,I80/'Voyage Model'!$C$19)</f>
        <v>30.221129283068</v>
      </c>
      <c r="M80" s="58" t="n">
        <f aca="false">J80/(Inputs!$B$34*Inputs!$B$35)</f>
        <v>249929.617117117</v>
      </c>
      <c r="N80" s="58" t="n">
        <f aca="false">K80/(Inputs!$B$34*Inputs!$B$35)</f>
        <v>7303225.65344697</v>
      </c>
      <c r="O80" s="35" t="n">
        <f aca="false">MAX(0,'Voyage Model'!$C$19-I80)/Inputs!$B$33/1000</f>
        <v>0</v>
      </c>
    </row>
    <row r="81" customFormat="false" ht="15" hidden="false" customHeight="false" outlineLevel="0" collapsed="false">
      <c r="A81" s="62" t="n">
        <v>0.038</v>
      </c>
      <c r="B81" s="63" t="n">
        <f aca="false">L81</f>
        <v>30.4395797054708</v>
      </c>
      <c r="C81" s="35" t="n">
        <f aca="false">M81/1000/(IF(Inputs!$B$43="Per day",'Voyage Model'!$C$6,1))</f>
        <v>249.929617117117</v>
      </c>
      <c r="D81" s="35" t="n">
        <f aca="false">N81/1000/(IF(Inputs!$B$43="Per day",'Voyage Model'!$C$6,1))</f>
        <v>7357.82288387716</v>
      </c>
      <c r="E81" s="35" t="n">
        <f aca="false">O81/(IF(Inputs!$B$43="Per day",'Voyage Model'!$C$6,1))</f>
        <v>0</v>
      </c>
      <c r="G81" s="61" t="n">
        <f aca="false">1-(1-A81)^'Voyage Model'!$C$6</f>
        <v>0.685294205165661</v>
      </c>
      <c r="H81" s="58" t="n">
        <f aca="false">'Voyage Model'!$C$8*G81</f>
        <v>7607752.50099427</v>
      </c>
      <c r="I81" s="58" t="n">
        <f aca="false">H81*Inputs!$B$34*Inputs!$B$35</f>
        <v>912930300.119313</v>
      </c>
      <c r="J81" s="58" t="n">
        <f aca="false">MIN(I81,'Voyage Model'!$C$19)</f>
        <v>29991554.0540541</v>
      </c>
      <c r="K81" s="58" t="n">
        <f aca="false">MAX(0,I81-'Voyage Model'!$C$19)</f>
        <v>882938746.065259</v>
      </c>
      <c r="L81" s="63" t="n">
        <f aca="false">IF('Voyage Model'!$C$19=0,0,I81/'Voyage Model'!$C$19)</f>
        <v>30.4395797054708</v>
      </c>
      <c r="M81" s="58" t="n">
        <f aca="false">J81/(Inputs!$B$34*Inputs!$B$35)</f>
        <v>249929.617117117</v>
      </c>
      <c r="N81" s="58" t="n">
        <f aca="false">K81/(Inputs!$B$34*Inputs!$B$35)</f>
        <v>7357822.88387716</v>
      </c>
      <c r="O81" s="35" t="n">
        <f aca="false">MAX(0,'Voyage Model'!$C$19-I81)/Inputs!$B$33/1000</f>
        <v>0</v>
      </c>
    </row>
    <row r="82" customFormat="false" ht="15" hidden="false" customHeight="false" outlineLevel="0" collapsed="false">
      <c r="A82" s="62" t="n">
        <v>0.0385</v>
      </c>
      <c r="B82" s="63" t="n">
        <f aca="false">L82</f>
        <v>30.6547798017467</v>
      </c>
      <c r="C82" s="35" t="n">
        <f aca="false">M82/1000/(IF(Inputs!$B$43="Per day",'Voyage Model'!$C$6,1))</f>
        <v>249.929617117117</v>
      </c>
      <c r="D82" s="35" t="n">
        <f aca="false">N82/1000/(IF(Inputs!$B$43="Per day",'Voyage Model'!$C$6,1))</f>
        <v>7411.60776154296</v>
      </c>
      <c r="E82" s="35" t="n">
        <f aca="false">O82/(IF(Inputs!$B$43="Per day",'Voyage Model'!$C$6,1))</f>
        <v>0</v>
      </c>
      <c r="G82" s="61" t="n">
        <f aca="false">1-(1-A82)^'Voyage Model'!$C$6</f>
        <v>0.690139061118205</v>
      </c>
      <c r="H82" s="58" t="n">
        <f aca="false">'Voyage Model'!$C$8*G82</f>
        <v>7661537.37866008</v>
      </c>
      <c r="I82" s="58" t="n">
        <f aca="false">H82*Inputs!$B$34*Inputs!$B$35</f>
        <v>919384485.43921</v>
      </c>
      <c r="J82" s="58" t="n">
        <f aca="false">MIN(I82,'Voyage Model'!$C$19)</f>
        <v>29991554.0540541</v>
      </c>
      <c r="K82" s="58" t="n">
        <f aca="false">MAX(0,I82-'Voyage Model'!$C$19)</f>
        <v>889392931.385156</v>
      </c>
      <c r="L82" s="63" t="n">
        <f aca="false">IF('Voyage Model'!$C$19=0,0,I82/'Voyage Model'!$C$19)</f>
        <v>30.6547798017467</v>
      </c>
      <c r="M82" s="58" t="n">
        <f aca="false">J82/(Inputs!$B$34*Inputs!$B$35)</f>
        <v>249929.617117117</v>
      </c>
      <c r="N82" s="58" t="n">
        <f aca="false">K82/(Inputs!$B$34*Inputs!$B$35)</f>
        <v>7411607.76154296</v>
      </c>
      <c r="O82" s="35" t="n">
        <f aca="false">MAX(0,'Voyage Model'!$C$19-I82)/Inputs!$B$33/1000</f>
        <v>0</v>
      </c>
    </row>
    <row r="83" customFormat="false" ht="15" hidden="false" customHeight="false" outlineLevel="0" collapsed="false">
      <c r="A83" s="62" t="n">
        <v>0.039</v>
      </c>
      <c r="B83" s="63" t="n">
        <f aca="false">L83</f>
        <v>30.866776280902</v>
      </c>
      <c r="C83" s="35" t="n">
        <f aca="false">M83/1000/(IF(Inputs!$B$43="Per day",'Voyage Model'!$C$6,1))</f>
        <v>249.929617117117</v>
      </c>
      <c r="D83" s="35" t="n">
        <f aca="false">N83/1000/(IF(Inputs!$B$43="Per day",'Voyage Model'!$C$6,1))</f>
        <v>7464.59196040844</v>
      </c>
      <c r="E83" s="35" t="n">
        <f aca="false">O83/(IF(Inputs!$B$43="Per day",'Voyage Model'!$C$6,1))</f>
        <v>0</v>
      </c>
      <c r="G83" s="61" t="n">
        <f aca="false">1-(1-A83)^'Voyage Model'!$C$6</f>
        <v>0.694911793202103</v>
      </c>
      <c r="H83" s="58" t="n">
        <f aca="false">'Voyage Model'!$C$8*G83</f>
        <v>7714521.57752556</v>
      </c>
      <c r="I83" s="58" t="n">
        <f aca="false">H83*Inputs!$B$34*Inputs!$B$35</f>
        <v>925742589.303067</v>
      </c>
      <c r="J83" s="58" t="n">
        <f aca="false">MIN(I83,'Voyage Model'!$C$19)</f>
        <v>29991554.0540541</v>
      </c>
      <c r="K83" s="58" t="n">
        <f aca="false">MAX(0,I83-'Voyage Model'!$C$19)</f>
        <v>895751035.249013</v>
      </c>
      <c r="L83" s="63" t="n">
        <f aca="false">IF('Voyage Model'!$C$19=0,0,I83/'Voyage Model'!$C$19)</f>
        <v>30.866776280902</v>
      </c>
      <c r="M83" s="58" t="n">
        <f aca="false">J83/(Inputs!$B$34*Inputs!$B$35)</f>
        <v>249929.617117117</v>
      </c>
      <c r="N83" s="58" t="n">
        <f aca="false">K83/(Inputs!$B$34*Inputs!$B$35)</f>
        <v>7464591.96040844</v>
      </c>
      <c r="O83" s="35" t="n">
        <f aca="false">MAX(0,'Voyage Model'!$C$19-I83)/Inputs!$B$33/1000</f>
        <v>0</v>
      </c>
    </row>
    <row r="84" customFormat="false" ht="15" hidden="false" customHeight="false" outlineLevel="0" collapsed="false">
      <c r="A84" s="62" t="n">
        <v>0.0395</v>
      </c>
      <c r="B84" s="63" t="n">
        <f aca="false">L84</f>
        <v>31.0756152044821</v>
      </c>
      <c r="C84" s="35" t="n">
        <f aca="false">M84/1000/(IF(Inputs!$B$43="Per day",'Voyage Model'!$C$6,1))</f>
        <v>249.929617117117</v>
      </c>
      <c r="D84" s="35" t="n">
        <f aca="false">N84/1000/(IF(Inputs!$B$43="Per day",'Voyage Model'!$C$6,1))</f>
        <v>7516.78699261797</v>
      </c>
      <c r="E84" s="35" t="n">
        <f aca="false">O84/(IF(Inputs!$B$43="Per day",'Voyage Model'!$C$6,1))</f>
        <v>0</v>
      </c>
      <c r="G84" s="61" t="n">
        <f aca="false">1-(1-A84)^'Voyage Model'!$C$6</f>
        <v>0.699613438412952</v>
      </c>
      <c r="H84" s="58" t="n">
        <f aca="false">'Voyage Model'!$C$8*G84</f>
        <v>7766716.60973509</v>
      </c>
      <c r="I84" s="58" t="n">
        <f aca="false">H84*Inputs!$B$34*Inputs!$B$35</f>
        <v>932005993.16821</v>
      </c>
      <c r="J84" s="58" t="n">
        <f aca="false">MIN(I84,'Voyage Model'!$C$19)</f>
        <v>29991554.0540541</v>
      </c>
      <c r="K84" s="58" t="n">
        <f aca="false">MAX(0,I84-'Voyage Model'!$C$19)</f>
        <v>902014439.114156</v>
      </c>
      <c r="L84" s="63" t="n">
        <f aca="false">IF('Voyage Model'!$C$19=0,0,I84/'Voyage Model'!$C$19)</f>
        <v>31.0756152044821</v>
      </c>
      <c r="M84" s="58" t="n">
        <f aca="false">J84/(Inputs!$B$34*Inputs!$B$35)</f>
        <v>249929.617117117</v>
      </c>
      <c r="N84" s="58" t="n">
        <f aca="false">K84/(Inputs!$B$34*Inputs!$B$35)</f>
        <v>7516786.99261797</v>
      </c>
      <c r="O84" s="35" t="n">
        <f aca="false">MAX(0,'Voyage Model'!$C$19-I84)/Inputs!$B$33/1000</f>
        <v>0</v>
      </c>
    </row>
    <row r="85" customFormat="false" ht="15" hidden="false" customHeight="false" outlineLevel="0" collapsed="false">
      <c r="A85" s="62" t="n">
        <v>0.04</v>
      </c>
      <c r="B85" s="63" t="n">
        <f aca="false">L85</f>
        <v>31.2813419952166</v>
      </c>
      <c r="C85" s="35" t="n">
        <f aca="false">M85/1000/(IF(Inputs!$B$43="Per day",'Voyage Model'!$C$6,1))</f>
        <v>249.929617117117</v>
      </c>
      <c r="D85" s="35" t="n">
        <f aca="false">N85/1000/(IF(Inputs!$B$43="Per day",'Voyage Model'!$C$6,1))</f>
        <v>7568.20421065697</v>
      </c>
      <c r="E85" s="35" t="n">
        <f aca="false">O85/(IF(Inputs!$B$43="Per day",'Voyage Model'!$C$6,1))</f>
        <v>0</v>
      </c>
      <c r="G85" s="61" t="n">
        <f aca="false">1-(1-A85)^'Voyage Model'!$C$6</f>
        <v>0.704245019364523</v>
      </c>
      <c r="H85" s="58" t="n">
        <f aca="false">'Voyage Model'!$C$8*G85</f>
        <v>7818133.82777409</v>
      </c>
      <c r="I85" s="58" t="n">
        <f aca="false">H85*Inputs!$B$34*Inputs!$B$35</f>
        <v>938176059.332891</v>
      </c>
      <c r="J85" s="58" t="n">
        <f aca="false">MIN(I85,'Voyage Model'!$C$19)</f>
        <v>29991554.0540541</v>
      </c>
      <c r="K85" s="58" t="n">
        <f aca="false">MAX(0,I85-'Voyage Model'!$C$19)</f>
        <v>908184505.278837</v>
      </c>
      <c r="L85" s="63" t="n">
        <f aca="false">IF('Voyage Model'!$C$19=0,0,I85/'Voyage Model'!$C$19)</f>
        <v>31.2813419952166</v>
      </c>
      <c r="M85" s="58" t="n">
        <f aca="false">J85/(Inputs!$B$34*Inputs!$B$35)</f>
        <v>249929.617117117</v>
      </c>
      <c r="N85" s="58" t="n">
        <f aca="false">K85/(Inputs!$B$34*Inputs!$B$35)</f>
        <v>7568204.21065697</v>
      </c>
      <c r="O85" s="35" t="n">
        <f aca="false">MAX(0,'Voyage Model'!$C$19-I85)/Inputs!$B$33/1000</f>
        <v>0</v>
      </c>
    </row>
    <row r="87" customFormat="false" ht="15" hidden="false" customHeight="false" outlineLevel="0" collapsed="false">
      <c r="A87" s="19" t="s">
        <v>216</v>
      </c>
    </row>
    <row r="88" customFormat="false" ht="15" hidden="false" customHeight="false" outlineLevel="0" collapsed="false">
      <c r="A88" s="19" t="s">
        <v>217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7C9E"/>
    <pageSetUpPr fitToPage="tru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5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218</v>
      </c>
      <c r="B1" s="2"/>
      <c r="C1" s="2"/>
      <c r="D1" s="2"/>
    </row>
    <row r="2" customFormat="false" ht="27.75" hidden="false" customHeight="true" outlineLevel="0" collapsed="false">
      <c r="A2" s="3" t="s">
        <v>219</v>
      </c>
      <c r="B2" s="3"/>
      <c r="C2" s="3"/>
      <c r="D2" s="3"/>
    </row>
    <row r="4" customFormat="false" ht="15" hidden="false" customHeight="false" outlineLevel="0" collapsed="false">
      <c r="A4" s="16" t="s">
        <v>220</v>
      </c>
      <c r="B4" s="16" t="s">
        <v>221</v>
      </c>
      <c r="C4" s="16" t="s">
        <v>222</v>
      </c>
    </row>
    <row r="5" customFormat="false" ht="15" hidden="false" customHeight="false" outlineLevel="0" collapsed="false">
      <c r="A5" s="64" t="n">
        <v>0</v>
      </c>
      <c r="B5" s="54" t="n">
        <f aca="false">('Voyage Model'!$C$32*A5+'Voyage Model'!$C$40)/'Voyage Model'!$C$33</f>
        <v>-0.0428047076995462</v>
      </c>
      <c r="C5" s="55" t="n">
        <f aca="false">'Voyage Model'!$D$42</f>
        <v>0.0090088784928617</v>
      </c>
    </row>
    <row r="6" customFormat="false" ht="15" hidden="false" customHeight="false" outlineLevel="0" collapsed="false">
      <c r="A6" s="64" t="n">
        <v>0.25</v>
      </c>
      <c r="B6" s="54" t="n">
        <f aca="false">('Voyage Model'!$C$32*A6+'Voyage Model'!$C$40)/'Voyage Model'!$C$33</f>
        <v>-0.0274134007255105</v>
      </c>
      <c r="C6" s="55" t="n">
        <f aca="false">'Voyage Model'!$D$42</f>
        <v>0.0090088784928617</v>
      </c>
    </row>
    <row r="7" customFormat="false" ht="15" hidden="false" customHeight="false" outlineLevel="0" collapsed="false">
      <c r="A7" s="64" t="n">
        <v>0.5</v>
      </c>
      <c r="B7" s="54" t="n">
        <f aca="false">('Voyage Model'!$C$32*A7+'Voyage Model'!$C$40)/'Voyage Model'!$C$33</f>
        <v>-0.0120220937514748</v>
      </c>
      <c r="C7" s="55" t="n">
        <f aca="false">'Voyage Model'!$D$42</f>
        <v>0.0090088784928617</v>
      </c>
    </row>
    <row r="8" customFormat="false" ht="15" hidden="false" customHeight="false" outlineLevel="0" collapsed="false">
      <c r="A8" s="64" t="n">
        <v>0.75</v>
      </c>
      <c r="B8" s="54" t="n">
        <f aca="false">('Voyage Model'!$C$32*A8+'Voyage Model'!$C$40)/'Voyage Model'!$C$33</f>
        <v>0.00336921322256088</v>
      </c>
      <c r="C8" s="55" t="n">
        <f aca="false">'Voyage Model'!$D$42</f>
        <v>0.0090088784928617</v>
      </c>
    </row>
    <row r="9" customFormat="false" ht="15" hidden="false" customHeight="false" outlineLevel="0" collapsed="false">
      <c r="A9" s="64" t="n">
        <v>1</v>
      </c>
      <c r="B9" s="54" t="n">
        <f aca="false">('Voyage Model'!$C$32*A9+'Voyage Model'!$C$40)/'Voyage Model'!$C$33</f>
        <v>0.0187605201965966</v>
      </c>
      <c r="C9" s="55" t="n">
        <f aca="false">'Voyage Model'!$D$42</f>
        <v>0.0090088784928617</v>
      </c>
    </row>
    <row r="10" customFormat="false" ht="15" hidden="false" customHeight="false" outlineLevel="0" collapsed="false">
      <c r="A10" s="64" t="n">
        <v>1.25</v>
      </c>
      <c r="B10" s="54" t="n">
        <f aca="false">('Voyage Model'!$C$32*A10+'Voyage Model'!$C$40)/'Voyage Model'!$C$33</f>
        <v>0.0341518271706323</v>
      </c>
      <c r="C10" s="55" t="n">
        <f aca="false">'Voyage Model'!$D$42</f>
        <v>0.0090088784928617</v>
      </c>
    </row>
    <row r="11" customFormat="false" ht="15" hidden="false" customHeight="false" outlineLevel="0" collapsed="false">
      <c r="A11" s="64" t="n">
        <v>1.5</v>
      </c>
      <c r="B11" s="54" t="n">
        <f aca="false">('Voyage Model'!$C$32*A11+'Voyage Model'!$C$40)/'Voyage Model'!$C$33</f>
        <v>0.049543134144668</v>
      </c>
      <c r="C11" s="55" t="n">
        <f aca="false">'Voyage Model'!$D$42</f>
        <v>0.0090088784928617</v>
      </c>
    </row>
    <row r="12" customFormat="false" ht="15" hidden="false" customHeight="false" outlineLevel="0" collapsed="false">
      <c r="A12" s="64" t="n">
        <v>1.75</v>
      </c>
      <c r="B12" s="54" t="n">
        <f aca="false">('Voyage Model'!$C$32*A12+'Voyage Model'!$C$40)/'Voyage Model'!$C$33</f>
        <v>0.0649344411187037</v>
      </c>
      <c r="C12" s="55" t="n">
        <f aca="false">'Voyage Model'!$D$42</f>
        <v>0.0090088784928617</v>
      </c>
    </row>
    <row r="13" customFormat="false" ht="15" hidden="false" customHeight="false" outlineLevel="0" collapsed="false">
      <c r="A13" s="64" t="n">
        <v>2</v>
      </c>
      <c r="B13" s="54" t="n">
        <f aca="false">('Voyage Model'!$C$32*A13+'Voyage Model'!$C$40)/'Voyage Model'!$C$33</f>
        <v>0.0803257480927394</v>
      </c>
      <c r="C13" s="55" t="n">
        <f aca="false">'Voyage Model'!$D$42</f>
        <v>0.0090088784928617</v>
      </c>
    </row>
    <row r="14" customFormat="false" ht="15" hidden="false" customHeight="false" outlineLevel="0" collapsed="false">
      <c r="A14" s="64" t="n">
        <v>2.25</v>
      </c>
      <c r="B14" s="54" t="n">
        <f aca="false">('Voyage Model'!$C$32*A14+'Voyage Model'!$C$40)/'Voyage Model'!$C$33</f>
        <v>0.095717055066775</v>
      </c>
      <c r="C14" s="55" t="n">
        <f aca="false">'Voyage Model'!$D$42</f>
        <v>0.0090088784928617</v>
      </c>
    </row>
    <row r="15" customFormat="false" ht="15" hidden="false" customHeight="false" outlineLevel="0" collapsed="false">
      <c r="A15" s="64" t="n">
        <v>2.5</v>
      </c>
      <c r="B15" s="54" t="n">
        <f aca="false">('Voyage Model'!$C$32*A15+'Voyage Model'!$C$40)/'Voyage Model'!$C$33</f>
        <v>0.111108362040811</v>
      </c>
      <c r="C15" s="55" t="n">
        <f aca="false">'Voyage Model'!$D$42</f>
        <v>0.0090088784928617</v>
      </c>
    </row>
    <row r="16" customFormat="false" ht="15" hidden="false" customHeight="false" outlineLevel="0" collapsed="false">
      <c r="A16" s="64" t="n">
        <v>2.75</v>
      </c>
      <c r="B16" s="54" t="n">
        <f aca="false">('Voyage Model'!$C$32*A16+'Voyage Model'!$C$40)/'Voyage Model'!$C$33</f>
        <v>0.126499669014846</v>
      </c>
      <c r="C16" s="55" t="n">
        <f aca="false">'Voyage Model'!$D$42</f>
        <v>0.0090088784928617</v>
      </c>
    </row>
    <row r="17" customFormat="false" ht="15" hidden="false" customHeight="false" outlineLevel="0" collapsed="false">
      <c r="A17" s="64" t="n">
        <v>3</v>
      </c>
      <c r="B17" s="54" t="n">
        <f aca="false">('Voyage Model'!$C$32*A17+'Voyage Model'!$C$40)/'Voyage Model'!$C$33</f>
        <v>0.141890975988882</v>
      </c>
      <c r="C17" s="55" t="n">
        <f aca="false">'Voyage Model'!$D$42</f>
        <v>0.0090088784928617</v>
      </c>
    </row>
    <row r="18" customFormat="false" ht="15" hidden="false" customHeight="false" outlineLevel="0" collapsed="false">
      <c r="A18" s="64" t="n">
        <v>3.25</v>
      </c>
      <c r="B18" s="54" t="n">
        <f aca="false">('Voyage Model'!$C$32*A18+'Voyage Model'!$C$40)/'Voyage Model'!$C$33</f>
        <v>0.157282282962918</v>
      </c>
      <c r="C18" s="55" t="n">
        <f aca="false">'Voyage Model'!$D$42</f>
        <v>0.0090088784928617</v>
      </c>
    </row>
    <row r="19" customFormat="false" ht="15" hidden="false" customHeight="false" outlineLevel="0" collapsed="false">
      <c r="A19" s="64" t="n">
        <v>3.5</v>
      </c>
      <c r="B19" s="54" t="n">
        <f aca="false">('Voyage Model'!$C$32*A19+'Voyage Model'!$C$40)/'Voyage Model'!$C$33</f>
        <v>0.172673589936954</v>
      </c>
      <c r="C19" s="55" t="n">
        <f aca="false">'Voyage Model'!$D$42</f>
        <v>0.0090088784928617</v>
      </c>
    </row>
    <row r="20" customFormat="false" ht="15" hidden="false" customHeight="false" outlineLevel="0" collapsed="false">
      <c r="A20" s="64" t="n">
        <v>3.75</v>
      </c>
      <c r="B20" s="54" t="n">
        <f aca="false">('Voyage Model'!$C$32*A20+'Voyage Model'!$C$40)/'Voyage Model'!$C$33</f>
        <v>0.188064896910989</v>
      </c>
      <c r="C20" s="55" t="n">
        <f aca="false">'Voyage Model'!$D$42</f>
        <v>0.0090088784928617</v>
      </c>
    </row>
    <row r="21" customFormat="false" ht="15" hidden="false" customHeight="false" outlineLevel="0" collapsed="false">
      <c r="A21" s="64" t="n">
        <v>4</v>
      </c>
      <c r="B21" s="54" t="n">
        <f aca="false">('Voyage Model'!$C$32*A21+'Voyage Model'!$C$40)/'Voyage Model'!$C$33</f>
        <v>0.203456203885025</v>
      </c>
      <c r="C21" s="55" t="n">
        <f aca="false">'Voyage Model'!$D$42</f>
        <v>0.0090088784928617</v>
      </c>
    </row>
    <row r="22" customFormat="false" ht="15" hidden="false" customHeight="false" outlineLevel="0" collapsed="false">
      <c r="A22" s="64" t="n">
        <v>4.25</v>
      </c>
      <c r="B22" s="54" t="n">
        <f aca="false">('Voyage Model'!$C$32*A22+'Voyage Model'!$C$40)/'Voyage Model'!$C$33</f>
        <v>0.218847510859061</v>
      </c>
      <c r="C22" s="55" t="n">
        <f aca="false">'Voyage Model'!$D$42</f>
        <v>0.0090088784928617</v>
      </c>
    </row>
    <row r="23" customFormat="false" ht="15" hidden="false" customHeight="false" outlineLevel="0" collapsed="false">
      <c r="A23" s="64" t="n">
        <v>4.5</v>
      </c>
      <c r="B23" s="54" t="n">
        <f aca="false">('Voyage Model'!$C$32*A23+'Voyage Model'!$C$40)/'Voyage Model'!$C$33</f>
        <v>0.234238817833096</v>
      </c>
      <c r="C23" s="55" t="n">
        <f aca="false">'Voyage Model'!$D$42</f>
        <v>0.0090088784928617</v>
      </c>
    </row>
    <row r="24" customFormat="false" ht="15" hidden="false" customHeight="false" outlineLevel="0" collapsed="false">
      <c r="A24" s="64" t="n">
        <v>4.75</v>
      </c>
      <c r="B24" s="54" t="n">
        <f aca="false">('Voyage Model'!$C$32*A24+'Voyage Model'!$C$40)/'Voyage Model'!$C$33</f>
        <v>0.249630124807132</v>
      </c>
      <c r="C24" s="55" t="n">
        <f aca="false">'Voyage Model'!$D$42</f>
        <v>0.0090088784928617</v>
      </c>
    </row>
    <row r="25" customFormat="false" ht="15" hidden="false" customHeight="false" outlineLevel="0" collapsed="false">
      <c r="A25" s="64" t="n">
        <v>5</v>
      </c>
      <c r="B25" s="54" t="n">
        <f aca="false">('Voyage Model'!$C$32*A25+'Voyage Model'!$C$40)/'Voyage Model'!$C$33</f>
        <v>0.265021431781168</v>
      </c>
      <c r="C25" s="55" t="n">
        <f aca="false">'Voyage Model'!$D$42</f>
        <v>0.0090088784928617</v>
      </c>
    </row>
    <row r="26" customFormat="false" ht="15" hidden="false" customHeight="false" outlineLevel="0" collapsed="false">
      <c r="A26" s="64" t="n">
        <v>5.25</v>
      </c>
      <c r="B26" s="54" t="n">
        <f aca="false">('Voyage Model'!$C$32*A26+'Voyage Model'!$C$40)/'Voyage Model'!$C$33</f>
        <v>0.280412738755203</v>
      </c>
      <c r="C26" s="55" t="n">
        <f aca="false">'Voyage Model'!$D$42</f>
        <v>0.0090088784928617</v>
      </c>
    </row>
    <row r="27" customFormat="false" ht="15" hidden="false" customHeight="false" outlineLevel="0" collapsed="false">
      <c r="A27" s="64" t="n">
        <v>5.5</v>
      </c>
      <c r="B27" s="54" t="n">
        <f aca="false">('Voyage Model'!$C$32*A27+'Voyage Model'!$C$40)/'Voyage Model'!$C$33</f>
        <v>0.295804045729239</v>
      </c>
      <c r="C27" s="55" t="n">
        <f aca="false">'Voyage Model'!$D$42</f>
        <v>0.0090088784928617</v>
      </c>
    </row>
    <row r="28" customFormat="false" ht="15" hidden="false" customHeight="false" outlineLevel="0" collapsed="false">
      <c r="A28" s="64" t="n">
        <v>5.75</v>
      </c>
      <c r="B28" s="54" t="n">
        <f aca="false">('Voyage Model'!$C$32*A28+'Voyage Model'!$C$40)/'Voyage Model'!$C$33</f>
        <v>0.311195352703275</v>
      </c>
      <c r="C28" s="55" t="n">
        <f aca="false">'Voyage Model'!$D$42</f>
        <v>0.0090088784928617</v>
      </c>
    </row>
    <row r="29" customFormat="false" ht="15" hidden="false" customHeight="false" outlineLevel="0" collapsed="false">
      <c r="A29" s="64" t="n">
        <v>6</v>
      </c>
      <c r="B29" s="54" t="n">
        <f aca="false">('Voyage Model'!$C$32*A29+'Voyage Model'!$C$40)/'Voyage Model'!$C$33</f>
        <v>0.326586659677311</v>
      </c>
      <c r="C29" s="55" t="n">
        <f aca="false">'Voyage Model'!$D$42</f>
        <v>0.0090088784928617</v>
      </c>
    </row>
    <row r="30" customFormat="false" ht="15" hidden="false" customHeight="false" outlineLevel="0" collapsed="false">
      <c r="A30" s="64" t="n">
        <v>6.25</v>
      </c>
      <c r="B30" s="54" t="n">
        <f aca="false">('Voyage Model'!$C$32*A30+'Voyage Model'!$C$40)/'Voyage Model'!$C$33</f>
        <v>0.341977966651346</v>
      </c>
      <c r="C30" s="55" t="n">
        <f aca="false">'Voyage Model'!$D$42</f>
        <v>0.0090088784928617</v>
      </c>
    </row>
    <row r="31" customFormat="false" ht="15" hidden="false" customHeight="false" outlineLevel="0" collapsed="false">
      <c r="A31" s="64" t="n">
        <v>6.5</v>
      </c>
      <c r="B31" s="54" t="n">
        <f aca="false">('Voyage Model'!$C$32*A31+'Voyage Model'!$C$40)/'Voyage Model'!$C$33</f>
        <v>0.357369273625382</v>
      </c>
      <c r="C31" s="55" t="n">
        <f aca="false">'Voyage Model'!$D$42</f>
        <v>0.0090088784928617</v>
      </c>
    </row>
    <row r="32" customFormat="false" ht="15" hidden="false" customHeight="false" outlineLevel="0" collapsed="false">
      <c r="A32" s="64" t="n">
        <v>6.75</v>
      </c>
      <c r="B32" s="54" t="n">
        <f aca="false">('Voyage Model'!$C$32*A32+'Voyage Model'!$C$40)/'Voyage Model'!$C$33</f>
        <v>0.372760580599418</v>
      </c>
      <c r="C32" s="55" t="n">
        <f aca="false">'Voyage Model'!$D$42</f>
        <v>0.0090088784928617</v>
      </c>
    </row>
    <row r="33" customFormat="false" ht="15" hidden="false" customHeight="false" outlineLevel="0" collapsed="false">
      <c r="A33" s="64" t="n">
        <v>7</v>
      </c>
      <c r="B33" s="54" t="n">
        <f aca="false">('Voyage Model'!$C$32*A33+'Voyage Model'!$C$40)/'Voyage Model'!$C$33</f>
        <v>0.388151887573453</v>
      </c>
      <c r="C33" s="55" t="n">
        <f aca="false">'Voyage Model'!$D$42</f>
        <v>0.0090088784928617</v>
      </c>
    </row>
    <row r="34" customFormat="false" ht="15" hidden="false" customHeight="false" outlineLevel="0" collapsed="false">
      <c r="A34" s="64" t="n">
        <v>7.25</v>
      </c>
      <c r="B34" s="54" t="n">
        <f aca="false">('Voyage Model'!$C$32*A34+'Voyage Model'!$C$40)/'Voyage Model'!$C$33</f>
        <v>0.403543194547489</v>
      </c>
      <c r="C34" s="55" t="n">
        <f aca="false">'Voyage Model'!$D$42</f>
        <v>0.0090088784928617</v>
      </c>
    </row>
    <row r="35" customFormat="false" ht="15" hidden="false" customHeight="false" outlineLevel="0" collapsed="false">
      <c r="A35" s="64" t="n">
        <v>7.5</v>
      </c>
      <c r="B35" s="54" t="n">
        <f aca="false">('Voyage Model'!$C$32*A35+'Voyage Model'!$C$40)/'Voyage Model'!$C$33</f>
        <v>0.418934501521525</v>
      </c>
      <c r="C35" s="55" t="n">
        <f aca="false">'Voyage Model'!$D$42</f>
        <v>0.0090088784928617</v>
      </c>
    </row>
    <row r="36" customFormat="false" ht="15" hidden="false" customHeight="false" outlineLevel="0" collapsed="false">
      <c r="A36" s="64" t="n">
        <v>7.75</v>
      </c>
      <c r="B36" s="54" t="n">
        <f aca="false">('Voyage Model'!$C$32*A36+'Voyage Model'!$C$40)/'Voyage Model'!$C$33</f>
        <v>0.43432580849556</v>
      </c>
      <c r="C36" s="55" t="n">
        <f aca="false">'Voyage Model'!$D$42</f>
        <v>0.0090088784928617</v>
      </c>
    </row>
    <row r="37" customFormat="false" ht="15" hidden="false" customHeight="false" outlineLevel="0" collapsed="false">
      <c r="A37" s="64" t="n">
        <v>8</v>
      </c>
      <c r="B37" s="54" t="n">
        <f aca="false">('Voyage Model'!$C$32*A37+'Voyage Model'!$C$40)/'Voyage Model'!$C$33</f>
        <v>0.449717115469596</v>
      </c>
      <c r="C37" s="55" t="n">
        <f aca="false">'Voyage Model'!$D$42</f>
        <v>0.0090088784928617</v>
      </c>
    </row>
    <row r="38" customFormat="false" ht="15" hidden="false" customHeight="false" outlineLevel="0" collapsed="false">
      <c r="A38" s="64" t="n">
        <v>8.25</v>
      </c>
      <c r="B38" s="54" t="n">
        <f aca="false">('Voyage Model'!$C$32*A38+'Voyage Model'!$C$40)/'Voyage Model'!$C$33</f>
        <v>0.465108422443632</v>
      </c>
      <c r="C38" s="55" t="n">
        <f aca="false">'Voyage Model'!$D$42</f>
        <v>0.0090088784928617</v>
      </c>
    </row>
    <row r="39" customFormat="false" ht="15" hidden="false" customHeight="false" outlineLevel="0" collapsed="false">
      <c r="A39" s="64" t="n">
        <v>8.5</v>
      </c>
      <c r="B39" s="54" t="n">
        <f aca="false">('Voyage Model'!$C$32*A39+'Voyage Model'!$C$40)/'Voyage Model'!$C$33</f>
        <v>0.480499729417668</v>
      </c>
      <c r="C39" s="55" t="n">
        <f aca="false">'Voyage Model'!$D$42</f>
        <v>0.0090088784928617</v>
      </c>
    </row>
    <row r="40" customFormat="false" ht="15" hidden="false" customHeight="false" outlineLevel="0" collapsed="false">
      <c r="A40" s="64" t="n">
        <v>8.75</v>
      </c>
      <c r="B40" s="54" t="n">
        <f aca="false">('Voyage Model'!$C$32*A40+'Voyage Model'!$C$40)/'Voyage Model'!$C$33</f>
        <v>0.495891036391703</v>
      </c>
      <c r="C40" s="55" t="n">
        <f aca="false">'Voyage Model'!$D$42</f>
        <v>0.0090088784928617</v>
      </c>
    </row>
    <row r="41" customFormat="false" ht="15" hidden="false" customHeight="false" outlineLevel="0" collapsed="false">
      <c r="A41" s="64" t="n">
        <v>9</v>
      </c>
      <c r="B41" s="54" t="n">
        <f aca="false">('Voyage Model'!$C$32*A41+'Voyage Model'!$C$40)/'Voyage Model'!$C$33</f>
        <v>0.511282343365739</v>
      </c>
      <c r="C41" s="55" t="n">
        <f aca="false">'Voyage Model'!$D$42</f>
        <v>0.0090088784928617</v>
      </c>
    </row>
    <row r="42" customFormat="false" ht="15" hidden="false" customHeight="false" outlineLevel="0" collapsed="false">
      <c r="A42" s="64" t="n">
        <v>9.25</v>
      </c>
      <c r="B42" s="54" t="n">
        <f aca="false">('Voyage Model'!$C$32*A42+'Voyage Model'!$C$40)/'Voyage Model'!$C$33</f>
        <v>0.526673650339775</v>
      </c>
      <c r="C42" s="55" t="n">
        <f aca="false">'Voyage Model'!$D$42</f>
        <v>0.0090088784928617</v>
      </c>
    </row>
    <row r="43" customFormat="false" ht="15" hidden="false" customHeight="false" outlineLevel="0" collapsed="false">
      <c r="A43" s="64" t="n">
        <v>9.5</v>
      </c>
      <c r="B43" s="54" t="n">
        <f aca="false">('Voyage Model'!$C$32*A43+'Voyage Model'!$C$40)/'Voyage Model'!$C$33</f>
        <v>0.54206495731381</v>
      </c>
      <c r="C43" s="55" t="n">
        <f aca="false">'Voyage Model'!$D$42</f>
        <v>0.0090088784928617</v>
      </c>
    </row>
    <row r="44" customFormat="false" ht="15" hidden="false" customHeight="false" outlineLevel="0" collapsed="false">
      <c r="A44" s="64" t="n">
        <v>9.75</v>
      </c>
      <c r="B44" s="54" t="n">
        <f aca="false">('Voyage Model'!$C$32*A44+'Voyage Model'!$C$40)/'Voyage Model'!$C$33</f>
        <v>0.557456264287846</v>
      </c>
      <c r="C44" s="55" t="n">
        <f aca="false">'Voyage Model'!$D$42</f>
        <v>0.0090088784928617</v>
      </c>
    </row>
    <row r="45" customFormat="false" ht="15" hidden="false" customHeight="false" outlineLevel="0" collapsed="false">
      <c r="A45" s="64" t="n">
        <v>10</v>
      </c>
      <c r="B45" s="54" t="n">
        <f aca="false">('Voyage Model'!$C$32*A45+'Voyage Model'!$C$40)/'Voyage Model'!$C$33</f>
        <v>0.572847571261882</v>
      </c>
      <c r="C45" s="55" t="n">
        <f aca="false">'Voyage Model'!$D$42</f>
        <v>0.0090088784928617</v>
      </c>
    </row>
    <row r="46" customFormat="false" ht="15" hidden="false" customHeight="false" outlineLevel="0" collapsed="false">
      <c r="A46" s="64" t="n">
        <v>10.25</v>
      </c>
      <c r="B46" s="54" t="n">
        <f aca="false">('Voyage Model'!$C$32*A46+'Voyage Model'!$C$40)/'Voyage Model'!$C$33</f>
        <v>0.588238878235918</v>
      </c>
      <c r="C46" s="55" t="n">
        <f aca="false">'Voyage Model'!$D$42</f>
        <v>0.0090088784928617</v>
      </c>
    </row>
    <row r="47" customFormat="false" ht="15" hidden="false" customHeight="false" outlineLevel="0" collapsed="false">
      <c r="A47" s="64" t="n">
        <v>10.5</v>
      </c>
      <c r="B47" s="54" t="n">
        <f aca="false">('Voyage Model'!$C$32*A47+'Voyage Model'!$C$40)/'Voyage Model'!$C$33</f>
        <v>0.603630185209953</v>
      </c>
      <c r="C47" s="55" t="n">
        <f aca="false">'Voyage Model'!$D$42</f>
        <v>0.0090088784928617</v>
      </c>
    </row>
    <row r="48" customFormat="false" ht="15" hidden="false" customHeight="false" outlineLevel="0" collapsed="false">
      <c r="A48" s="64" t="n">
        <v>10.75</v>
      </c>
      <c r="B48" s="54" t="n">
        <f aca="false">('Voyage Model'!$C$32*A48+'Voyage Model'!$C$40)/'Voyage Model'!$C$33</f>
        <v>0.619021492183989</v>
      </c>
      <c r="C48" s="55" t="n">
        <f aca="false">'Voyage Model'!$D$42</f>
        <v>0.0090088784928617</v>
      </c>
    </row>
    <row r="49" customFormat="false" ht="15" hidden="false" customHeight="false" outlineLevel="0" collapsed="false">
      <c r="A49" s="64" t="n">
        <v>11</v>
      </c>
      <c r="B49" s="54" t="n">
        <f aca="false">('Voyage Model'!$C$32*A49+'Voyage Model'!$C$40)/'Voyage Model'!$C$33</f>
        <v>0.634412799158025</v>
      </c>
      <c r="C49" s="55" t="n">
        <f aca="false">'Voyage Model'!$D$42</f>
        <v>0.0090088784928617</v>
      </c>
    </row>
    <row r="50" customFormat="false" ht="15" hidden="false" customHeight="false" outlineLevel="0" collapsed="false">
      <c r="A50" s="64" t="n">
        <v>11.25</v>
      </c>
      <c r="B50" s="54" t="n">
        <f aca="false">('Voyage Model'!$C$32*A50+'Voyage Model'!$C$40)/'Voyage Model'!$C$33</f>
        <v>0.64980410613206</v>
      </c>
      <c r="C50" s="55" t="n">
        <f aca="false">'Voyage Model'!$D$42</f>
        <v>0.0090088784928617</v>
      </c>
    </row>
    <row r="51" customFormat="false" ht="15" hidden="false" customHeight="false" outlineLevel="0" collapsed="false">
      <c r="A51" s="64" t="n">
        <v>11.5</v>
      </c>
      <c r="B51" s="54" t="n">
        <f aca="false">('Voyage Model'!$C$32*A51+'Voyage Model'!$C$40)/'Voyage Model'!$C$33</f>
        <v>0.665195413106096</v>
      </c>
      <c r="C51" s="55" t="n">
        <f aca="false">'Voyage Model'!$D$42</f>
        <v>0.0090088784928617</v>
      </c>
    </row>
    <row r="52" customFormat="false" ht="15" hidden="false" customHeight="false" outlineLevel="0" collapsed="false">
      <c r="A52" s="64" t="n">
        <v>11.75</v>
      </c>
      <c r="B52" s="54" t="n">
        <f aca="false">('Voyage Model'!$C$32*A52+'Voyage Model'!$C$40)/'Voyage Model'!$C$33</f>
        <v>0.680586720080132</v>
      </c>
      <c r="C52" s="55" t="n">
        <f aca="false">'Voyage Model'!$D$42</f>
        <v>0.0090088784928617</v>
      </c>
    </row>
    <row r="53" customFormat="false" ht="15" hidden="false" customHeight="false" outlineLevel="0" collapsed="false">
      <c r="A53" s="64" t="n">
        <v>12</v>
      </c>
      <c r="B53" s="54" t="n">
        <f aca="false">('Voyage Model'!$C$32*A53+'Voyage Model'!$C$40)/'Voyage Model'!$C$33</f>
        <v>0.695978027054167</v>
      </c>
      <c r="C53" s="55" t="n">
        <f aca="false">'Voyage Model'!$D$42</f>
        <v>0.0090088784928617</v>
      </c>
    </row>
    <row r="55" customFormat="false" ht="15" hidden="false" customHeight="false" outlineLevel="0" collapsed="false">
      <c r="A55" s="19" t="s">
        <v>223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60B"/>
    <pageSetUpPr fitToPage="true"/>
  </sheetPr>
  <dimension ref="A1:A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6"/>
    <col collapsed="false" customWidth="true" hidden="false" outlineLevel="0" max="4" min="4" style="1" width="3"/>
    <col collapsed="false" customWidth="true" hidden="false" outlineLevel="0" max="21" min="5" style="1" width="9"/>
    <col collapsed="false" customWidth="true" hidden="true" outlineLevel="0" max="29" min="24" style="1" width="13"/>
  </cols>
  <sheetData>
    <row r="1" customFormat="false" ht="25.5" hidden="false" customHeight="true" outlineLevel="0" collapsed="false">
      <c r="A1" s="2" t="s">
        <v>224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3" t="s">
        <v>225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false" outlineLevel="0" collapsed="false">
      <c r="A4" s="16" t="s">
        <v>226</v>
      </c>
      <c r="B4" s="16" t="s">
        <v>227</v>
      </c>
      <c r="C4" s="16" t="s">
        <v>228</v>
      </c>
      <c r="D4" s="16"/>
      <c r="E4" s="65" t="n">
        <v>0</v>
      </c>
      <c r="F4" s="65" t="n">
        <v>0.25</v>
      </c>
      <c r="G4" s="65" t="n">
        <v>0.5</v>
      </c>
      <c r="H4" s="65" t="n">
        <v>0.75</v>
      </c>
      <c r="I4" s="65" t="n">
        <v>1</v>
      </c>
      <c r="J4" s="65" t="n">
        <v>1.25</v>
      </c>
      <c r="K4" s="65" t="n">
        <v>1.5</v>
      </c>
      <c r="L4" s="65" t="n">
        <v>1.75</v>
      </c>
      <c r="M4" s="65" t="n">
        <v>2</v>
      </c>
      <c r="N4" s="65" t="n">
        <v>2.25</v>
      </c>
      <c r="O4" s="65" t="n">
        <v>2.5</v>
      </c>
      <c r="P4" s="65" t="n">
        <v>2.75</v>
      </c>
      <c r="Q4" s="65" t="n">
        <v>3</v>
      </c>
      <c r="R4" s="65" t="n">
        <v>3.25</v>
      </c>
      <c r="S4" s="65" t="n">
        <v>3.5</v>
      </c>
      <c r="T4" s="65" t="n">
        <v>3.75</v>
      </c>
      <c r="U4" s="65" t="n">
        <v>4</v>
      </c>
    </row>
    <row r="5" customFormat="false" ht="15" hidden="false" customHeight="false" outlineLevel="0" collapsed="false">
      <c r="A5" s="58" t="n">
        <v>20000</v>
      </c>
      <c r="B5" s="35" t="n">
        <f aca="false">Inputs!$B$15*(A5/Inputs!$B$9)^Inputs!$B$44</f>
        <v>6.24566933119033</v>
      </c>
      <c r="C5" s="66" t="n">
        <f aca="false">IF(Y5=0,"n/a",('Voyage Model'!$D$42*AC5+AB5*Inputs!$B$40)/Y5)</f>
        <v>1.53591528463854</v>
      </c>
      <c r="E5" s="64" t="n">
        <f aca="false">(Y5*E$4-AB5*Inputs!$B$40)/AC5-('Voyage Model'!$D$42)</f>
        <v>-0.0945589745279408</v>
      </c>
      <c r="F5" s="64" t="n">
        <f aca="false">(Y5*F$4-AB5*Inputs!$B$40)/AC5-('Voyage Model'!$D$42)</f>
        <v>-0.0791676675539051</v>
      </c>
      <c r="G5" s="64" t="n">
        <f aca="false">(Y5*G$4-AB5*Inputs!$B$40)/AC5-('Voyage Model'!$D$42)</f>
        <v>-0.0637763605798694</v>
      </c>
      <c r="H5" s="64" t="n">
        <f aca="false">(Y5*H$4-AB5*Inputs!$B$40)/AC5-('Voyage Model'!$D$42)</f>
        <v>-0.0483850536058337</v>
      </c>
      <c r="I5" s="64" t="n">
        <f aca="false">(Y5*I$4-AB5*Inputs!$B$40)/AC5-('Voyage Model'!$D$42)</f>
        <v>-0.032993746631798</v>
      </c>
      <c r="J5" s="64" t="n">
        <f aca="false">(Y5*J$4-AB5*Inputs!$B$40)/AC5-('Voyage Model'!$D$42)</f>
        <v>-0.0176024396577623</v>
      </c>
      <c r="K5" s="64" t="n">
        <f aca="false">(Y5*K$4-AB5*Inputs!$B$40)/AC5-('Voyage Model'!$D$42)</f>
        <v>-0.00221113268372663</v>
      </c>
      <c r="L5" s="64" t="n">
        <f aca="false">(Y5*L$4-AB5*Inputs!$B$40)/AC5-('Voyage Model'!$D$42)</f>
        <v>0.0131801742903091</v>
      </c>
      <c r="M5" s="64" t="n">
        <f aca="false">(Y5*M$4-AB5*Inputs!$B$40)/AC5-('Voyage Model'!$D$42)</f>
        <v>0.0285714812643448</v>
      </c>
      <c r="N5" s="64" t="n">
        <f aca="false">(Y5*N$4-AB5*Inputs!$B$40)/AC5-('Voyage Model'!$D$42)</f>
        <v>0.0439627882383805</v>
      </c>
      <c r="O5" s="64" t="n">
        <f aca="false">(Y5*O$4-AB5*Inputs!$B$40)/AC5-('Voyage Model'!$D$42)</f>
        <v>0.0593540952124162</v>
      </c>
      <c r="P5" s="64" t="n">
        <f aca="false">(Y5*P$4-AB5*Inputs!$B$40)/AC5-('Voyage Model'!$D$42)</f>
        <v>0.0747454021864519</v>
      </c>
      <c r="Q5" s="64" t="n">
        <f aca="false">(Y5*Q$4-AB5*Inputs!$B$40)/AC5-('Voyage Model'!$D$42)</f>
        <v>0.0901367091604876</v>
      </c>
      <c r="R5" s="64" t="n">
        <f aca="false">(Y5*R$4-AB5*Inputs!$B$40)/AC5-('Voyage Model'!$D$42)</f>
        <v>0.105528016134523</v>
      </c>
      <c r="S5" s="64" t="n">
        <f aca="false">(Y5*S$4-AB5*Inputs!$B$40)/AC5-('Voyage Model'!$D$42)</f>
        <v>0.120919323108559</v>
      </c>
      <c r="T5" s="64" t="n">
        <f aca="false">(Y5*T$4-AB5*Inputs!$B$40)/AC5-('Voyage Model'!$D$42)</f>
        <v>0.136310630082595</v>
      </c>
      <c r="U5" s="64" t="n">
        <f aca="false">(Y5*U$4-AB5*Inputs!$B$40)/AC5-('Voyage Model'!$D$42)</f>
        <v>0.15170193705663</v>
      </c>
      <c r="X5" s="58" t="n">
        <f aca="false">A5*Inputs!$B$10*Inputs!$B$11</f>
        <v>1387680</v>
      </c>
      <c r="Y5" s="58" t="n">
        <f aca="false">X5*'Voyage Model'!$C$9</f>
        <v>80478.1780731779</v>
      </c>
      <c r="Z5" s="58" t="n">
        <f aca="false">B5*1000*'Voyage Model'!$C$6*Inputs!$B$33</f>
        <v>7492693.17400569</v>
      </c>
      <c r="AA5" s="58" t="n">
        <f aca="false">Y5*Inputs!$B$34*Inputs!$B$35</f>
        <v>9657381.36878135</v>
      </c>
      <c r="AB5" s="57" t="n">
        <f aca="false">MIN(AA5,Z5)/Inputs!$B$33/1000</f>
        <v>186.38540233845</v>
      </c>
      <c r="AC5" s="58" t="n">
        <f aca="false">X5*(1-'Voyage Model'!$C$9)</f>
        <v>1307201.82192682</v>
      </c>
    </row>
    <row r="6" customFormat="false" ht="15" hidden="false" customHeight="false" outlineLevel="0" collapsed="false">
      <c r="A6" s="58" t="n">
        <v>30000</v>
      </c>
      <c r="B6" s="35" t="n">
        <f aca="false">Inputs!$B$15*(A6/Inputs!$B$9)^Inputs!$B$44</f>
        <v>8.18524827816562</v>
      </c>
      <c r="C6" s="66" t="n">
        <f aca="false">IF(Y6=0,"n/a",('Voyage Model'!$D$42*AC6+AB6*Inputs!$B$40)/Y6)</f>
        <v>1.36040871588158</v>
      </c>
      <c r="E6" s="64" t="n">
        <f aca="false">(Y6*E$4-AB6*Inputs!$B$40)/AC6-('Voyage Model'!$D$42)</f>
        <v>-0.0837538726251483</v>
      </c>
      <c r="F6" s="64" t="n">
        <f aca="false">(Y6*F$4-AB6*Inputs!$B$40)/AC6-('Voyage Model'!$D$42)</f>
        <v>-0.0683625656511126</v>
      </c>
      <c r="G6" s="64" t="n">
        <f aca="false">(Y6*G$4-AB6*Inputs!$B$40)/AC6-('Voyage Model'!$D$42)</f>
        <v>-0.0529712586770769</v>
      </c>
      <c r="H6" s="64" t="n">
        <f aca="false">(Y6*H$4-AB6*Inputs!$B$40)/AC6-('Voyage Model'!$D$42)</f>
        <v>-0.0375799517030412</v>
      </c>
      <c r="I6" s="64" t="n">
        <f aca="false">(Y6*I$4-AB6*Inputs!$B$40)/AC6-('Voyage Model'!$D$42)</f>
        <v>-0.0221886447290055</v>
      </c>
      <c r="J6" s="64" t="n">
        <f aca="false">(Y6*J$4-AB6*Inputs!$B$40)/AC6-('Voyage Model'!$D$42)</f>
        <v>-0.00679733775496982</v>
      </c>
      <c r="K6" s="64" t="n">
        <f aca="false">(Y6*K$4-AB6*Inputs!$B$40)/AC6-('Voyage Model'!$D$42)</f>
        <v>0.00859396921906586</v>
      </c>
      <c r="L6" s="64" t="n">
        <f aca="false">(Y6*L$4-AB6*Inputs!$B$40)/AC6-('Voyage Model'!$D$42)</f>
        <v>0.0239852761931016</v>
      </c>
      <c r="M6" s="64" t="n">
        <f aca="false">(Y6*M$4-AB6*Inputs!$B$40)/AC6-('Voyage Model'!$D$42)</f>
        <v>0.0393765831671373</v>
      </c>
      <c r="N6" s="64" t="n">
        <f aca="false">(Y6*N$4-AB6*Inputs!$B$40)/AC6-('Voyage Model'!$D$42)</f>
        <v>0.054767890141173</v>
      </c>
      <c r="O6" s="64" t="n">
        <f aca="false">(Y6*O$4-AB6*Inputs!$B$40)/AC6-('Voyage Model'!$D$42)</f>
        <v>0.0701591971152087</v>
      </c>
      <c r="P6" s="64" t="n">
        <f aca="false">(Y6*P$4-AB6*Inputs!$B$40)/AC6-('Voyage Model'!$D$42)</f>
        <v>0.0855505040892444</v>
      </c>
      <c r="Q6" s="64" t="n">
        <f aca="false">(Y6*Q$4-AB6*Inputs!$B$40)/AC6-('Voyage Model'!$D$42)</f>
        <v>0.10094181106328</v>
      </c>
      <c r="R6" s="64" t="n">
        <f aca="false">(Y6*R$4-AB6*Inputs!$B$40)/AC6-('Voyage Model'!$D$42)</f>
        <v>0.116333118037316</v>
      </c>
      <c r="S6" s="64" t="n">
        <f aca="false">(Y6*S$4-AB6*Inputs!$B$40)/AC6-('Voyage Model'!$D$42)</f>
        <v>0.131724425011351</v>
      </c>
      <c r="T6" s="64" t="n">
        <f aca="false">(Y6*T$4-AB6*Inputs!$B$40)/AC6-('Voyage Model'!$D$42)</f>
        <v>0.147115731985387</v>
      </c>
      <c r="U6" s="64" t="n">
        <f aca="false">(Y6*U$4-AB6*Inputs!$B$40)/AC6-('Voyage Model'!$D$42)</f>
        <v>0.162507038959423</v>
      </c>
      <c r="X6" s="58" t="n">
        <f aca="false">A6*Inputs!$B$10*Inputs!$B$11</f>
        <v>2081520</v>
      </c>
      <c r="Y6" s="58" t="n">
        <f aca="false">X6*'Voyage Model'!$C$9</f>
        <v>120717.267109767</v>
      </c>
      <c r="Z6" s="58" t="n">
        <f aca="false">B6*1000*'Voyage Model'!$C$6*Inputs!$B$33</f>
        <v>9819532.64721829</v>
      </c>
      <c r="AA6" s="58" t="n">
        <f aca="false">Y6*Inputs!$B$34*Inputs!$B$35</f>
        <v>14486072.053172</v>
      </c>
      <c r="AB6" s="57" t="n">
        <f aca="false">MIN(AA6,Z6)/Inputs!$B$33/1000</f>
        <v>244.266981274087</v>
      </c>
      <c r="AC6" s="58" t="n">
        <f aca="false">X6*(1-'Voyage Model'!$C$9)</f>
        <v>1960802.73289023</v>
      </c>
    </row>
    <row r="7" customFormat="false" ht="15" hidden="false" customHeight="false" outlineLevel="0" collapsed="false">
      <c r="A7" s="58" t="n">
        <v>40000</v>
      </c>
      <c r="B7" s="35" t="n">
        <f aca="false">Inputs!$B$15*(A7/Inputs!$B$9)^Inputs!$B$44</f>
        <v>9.91667303988928</v>
      </c>
      <c r="C7" s="66" t="n">
        <f aca="false">IF(Y7=0,"n/a",('Voyage Model'!$D$42*AC7+AB7*Inputs!$B$40)/Y7)</f>
        <v>1.24949955768117</v>
      </c>
      <c r="E7" s="64" t="n">
        <f aca="false">(Y7*E$4-AB7*Inputs!$B$40)/AC7-('Voyage Model'!$D$42)</f>
        <v>-0.0769257250247707</v>
      </c>
      <c r="F7" s="64" t="n">
        <f aca="false">(Y7*F$4-AB7*Inputs!$B$40)/AC7-('Voyage Model'!$D$42)</f>
        <v>-0.061534418050735</v>
      </c>
      <c r="G7" s="64" t="n">
        <f aca="false">(Y7*G$4-AB7*Inputs!$B$40)/AC7-('Voyage Model'!$D$42)</f>
        <v>-0.0461431110766993</v>
      </c>
      <c r="H7" s="64" t="n">
        <f aca="false">(Y7*H$4-AB7*Inputs!$B$40)/AC7-('Voyage Model'!$D$42)</f>
        <v>-0.0307518041026636</v>
      </c>
      <c r="I7" s="64" t="n">
        <f aca="false">(Y7*I$4-AB7*Inputs!$B$40)/AC7-('Voyage Model'!$D$42)</f>
        <v>-0.0153604971286279</v>
      </c>
      <c r="J7" s="64" t="n">
        <f aca="false">(Y7*J$4-AB7*Inputs!$B$40)/AC7-('Voyage Model'!$D$42)</f>
        <v>3.08098454077903E-005</v>
      </c>
      <c r="K7" s="64" t="n">
        <f aca="false">(Y7*K$4-AB7*Inputs!$B$40)/AC7-('Voyage Model'!$D$42)</f>
        <v>0.0154221168194435</v>
      </c>
      <c r="L7" s="64" t="n">
        <f aca="false">(Y7*L$4-AB7*Inputs!$B$40)/AC7-('Voyage Model'!$D$42)</f>
        <v>0.0308134237934792</v>
      </c>
      <c r="M7" s="64" t="n">
        <f aca="false">(Y7*M$4-AB7*Inputs!$B$40)/AC7-('Voyage Model'!$D$42)</f>
        <v>0.0462047307675149</v>
      </c>
      <c r="N7" s="64" t="n">
        <f aca="false">(Y7*N$4-AB7*Inputs!$B$40)/AC7-('Voyage Model'!$D$42)</f>
        <v>0.0615960377415506</v>
      </c>
      <c r="O7" s="64" t="n">
        <f aca="false">(Y7*O$4-AB7*Inputs!$B$40)/AC7-('Voyage Model'!$D$42)</f>
        <v>0.0769873447155863</v>
      </c>
      <c r="P7" s="64" t="n">
        <f aca="false">(Y7*P$4-AB7*Inputs!$B$40)/AC7-('Voyage Model'!$D$42)</f>
        <v>0.092378651689622</v>
      </c>
      <c r="Q7" s="64" t="n">
        <f aca="false">(Y7*Q$4-AB7*Inputs!$B$40)/AC7-('Voyage Model'!$D$42)</f>
        <v>0.107769958663658</v>
      </c>
      <c r="R7" s="64" t="n">
        <f aca="false">(Y7*R$4-AB7*Inputs!$B$40)/AC7-('Voyage Model'!$D$42)</f>
        <v>0.123161265637693</v>
      </c>
      <c r="S7" s="64" t="n">
        <f aca="false">(Y7*S$4-AB7*Inputs!$B$40)/AC7-('Voyage Model'!$D$42)</f>
        <v>0.138552572611729</v>
      </c>
      <c r="T7" s="64" t="n">
        <f aca="false">(Y7*T$4-AB7*Inputs!$B$40)/AC7-('Voyage Model'!$D$42)</f>
        <v>0.153943879585765</v>
      </c>
      <c r="U7" s="64" t="n">
        <f aca="false">(Y7*U$4-AB7*Inputs!$B$40)/AC7-('Voyage Model'!$D$42)</f>
        <v>0.1693351865598</v>
      </c>
      <c r="X7" s="58" t="n">
        <f aca="false">A7*Inputs!$B$10*Inputs!$B$11</f>
        <v>2775360</v>
      </c>
      <c r="Y7" s="58" t="n">
        <f aca="false">X7*'Voyage Model'!$C$9</f>
        <v>160956.356146356</v>
      </c>
      <c r="Z7" s="58" t="n">
        <f aca="false">B7*1000*'Voyage Model'!$C$6*Inputs!$B$33</f>
        <v>11896657.4204888</v>
      </c>
      <c r="AA7" s="58" t="n">
        <f aca="false">Y7*Inputs!$B$34*Inputs!$B$35</f>
        <v>19314762.7375627</v>
      </c>
      <c r="AB7" s="57" t="n">
        <f aca="false">MIN(AA7,Z7)/Inputs!$B$33/1000</f>
        <v>295.936751753453</v>
      </c>
      <c r="AC7" s="58" t="n">
        <f aca="false">X7*(1-'Voyage Model'!$C$9)</f>
        <v>2614403.64385364</v>
      </c>
    </row>
    <row r="8" customFormat="false" ht="15" hidden="false" customHeight="false" outlineLevel="0" collapsed="false">
      <c r="A8" s="58" t="n">
        <v>50000</v>
      </c>
      <c r="B8" s="35" t="n">
        <f aca="false">Inputs!$B$15*(A8/Inputs!$B$9)^Inputs!$B$44</f>
        <v>11.5081356690549</v>
      </c>
      <c r="C8" s="66" t="n">
        <f aca="false">IF(Y8=0,"n/a",('Voyage Model'!$D$42*AC8+AB8*Inputs!$B$40)/Y8)</f>
        <v>1.17049812111384</v>
      </c>
      <c r="E8" s="64" t="n">
        <f aca="false">(Y8*E$4-AB8*Inputs!$B$40)/AC8-('Voyage Model'!$D$42)</f>
        <v>-0.0720619835783805</v>
      </c>
      <c r="F8" s="64" t="n">
        <f aca="false">(Y8*F$4-AB8*Inputs!$B$40)/AC8-('Voyage Model'!$D$42)</f>
        <v>-0.0566706766043448</v>
      </c>
      <c r="G8" s="64" t="n">
        <f aca="false">(Y8*G$4-AB8*Inputs!$B$40)/AC8-('Voyage Model'!$D$42)</f>
        <v>-0.0412793696303091</v>
      </c>
      <c r="H8" s="64" t="n">
        <f aca="false">(Y8*H$4-AB8*Inputs!$B$40)/AC8-('Voyage Model'!$D$42)</f>
        <v>-0.0258880626562734</v>
      </c>
      <c r="I8" s="64" t="n">
        <f aca="false">(Y8*I$4-AB8*Inputs!$B$40)/AC8-('Voyage Model'!$D$42)</f>
        <v>-0.0104967556822377</v>
      </c>
      <c r="J8" s="64" t="n">
        <f aca="false">(Y8*J$4-AB8*Inputs!$B$40)/AC8-('Voyage Model'!$D$42)</f>
        <v>0.00489455129179798</v>
      </c>
      <c r="K8" s="64" t="n">
        <f aca="false">(Y8*K$4-AB8*Inputs!$B$40)/AC8-('Voyage Model'!$D$42)</f>
        <v>0.0202858582658337</v>
      </c>
      <c r="L8" s="64" t="n">
        <f aca="false">(Y8*L$4-AB8*Inputs!$B$40)/AC8-('Voyage Model'!$D$42)</f>
        <v>0.0356771652398694</v>
      </c>
      <c r="M8" s="64" t="n">
        <f aca="false">(Y8*M$4-AB8*Inputs!$B$40)/AC8-('Voyage Model'!$D$42)</f>
        <v>0.0510684722139051</v>
      </c>
      <c r="N8" s="64" t="n">
        <f aca="false">(Y8*N$4-AB8*Inputs!$B$40)/AC8-('Voyage Model'!$D$42)</f>
        <v>0.0664597791879408</v>
      </c>
      <c r="O8" s="64" t="n">
        <f aca="false">(Y8*O$4-AB8*Inputs!$B$40)/AC8-('Voyage Model'!$D$42)</f>
        <v>0.0818510861619765</v>
      </c>
      <c r="P8" s="64" t="n">
        <f aca="false">(Y8*P$4-AB8*Inputs!$B$40)/AC8-('Voyage Model'!$D$42)</f>
        <v>0.0972423931360122</v>
      </c>
      <c r="Q8" s="64" t="n">
        <f aca="false">(Y8*Q$4-AB8*Inputs!$B$40)/AC8-('Voyage Model'!$D$42)</f>
        <v>0.112633700110048</v>
      </c>
      <c r="R8" s="64" t="n">
        <f aca="false">(Y8*R$4-AB8*Inputs!$B$40)/AC8-('Voyage Model'!$D$42)</f>
        <v>0.128025007084084</v>
      </c>
      <c r="S8" s="64" t="n">
        <f aca="false">(Y8*S$4-AB8*Inputs!$B$40)/AC8-('Voyage Model'!$D$42)</f>
        <v>0.143416314058119</v>
      </c>
      <c r="T8" s="64" t="n">
        <f aca="false">(Y8*T$4-AB8*Inputs!$B$40)/AC8-('Voyage Model'!$D$42)</f>
        <v>0.158807621032155</v>
      </c>
      <c r="U8" s="64" t="n">
        <f aca="false">(Y8*U$4-AB8*Inputs!$B$40)/AC8-('Voyage Model'!$D$42)</f>
        <v>0.174198928006191</v>
      </c>
      <c r="X8" s="58" t="n">
        <f aca="false">A8*Inputs!$B$10*Inputs!$B$11</f>
        <v>3469200</v>
      </c>
      <c r="Y8" s="58" t="n">
        <f aca="false">X8*'Voyage Model'!$C$9</f>
        <v>201195.445182945</v>
      </c>
      <c r="Z8" s="58" t="n">
        <f aca="false">B8*1000*'Voyage Model'!$C$6*Inputs!$B$33</f>
        <v>13805874.9191939</v>
      </c>
      <c r="AA8" s="58" t="n">
        <f aca="false">Y8*Inputs!$B$34*Inputs!$B$35</f>
        <v>24143453.4219534</v>
      </c>
      <c r="AB8" s="57" t="n">
        <f aca="false">MIN(AA8,Z8)/Inputs!$B$33/1000</f>
        <v>343.429724358057</v>
      </c>
      <c r="AC8" s="58" t="n">
        <f aca="false">X8*(1-'Voyage Model'!$C$9)</f>
        <v>3268004.55481706</v>
      </c>
    </row>
    <row r="9" customFormat="false" ht="15" hidden="false" customHeight="false" outlineLevel="0" collapsed="false">
      <c r="A9" s="58" t="n">
        <v>60000</v>
      </c>
      <c r="B9" s="35" t="n">
        <f aca="false">Inputs!$B$15*(A9/Inputs!$B$9)^Inputs!$B$44</f>
        <v>12.9962741574433</v>
      </c>
      <c r="C9" s="66" t="n">
        <f aca="false">IF(Y9=0,"n/a",('Voyage Model'!$D$42*AC9+AB9*Inputs!$B$40)/Y9)</f>
        <v>1.11016771297206</v>
      </c>
      <c r="E9" s="64" t="n">
        <f aca="false">(Y9*E$4-AB9*Inputs!$B$40)/AC9-('Voyage Model'!$D$42)</f>
        <v>-0.0683477282520647</v>
      </c>
      <c r="F9" s="64" t="n">
        <f aca="false">(Y9*F$4-AB9*Inputs!$B$40)/AC9-('Voyage Model'!$D$42)</f>
        <v>-0.052956421278029</v>
      </c>
      <c r="G9" s="64" t="n">
        <f aca="false">(Y9*G$4-AB9*Inputs!$B$40)/AC9-('Voyage Model'!$D$42)</f>
        <v>-0.0375651143039933</v>
      </c>
      <c r="H9" s="64" t="n">
        <f aca="false">(Y9*H$4-AB9*Inputs!$B$40)/AC9-('Voyage Model'!$D$42)</f>
        <v>-0.0221738073299576</v>
      </c>
      <c r="I9" s="64" t="n">
        <f aca="false">(Y9*I$4-AB9*Inputs!$B$40)/AC9-('Voyage Model'!$D$42)</f>
        <v>-0.00678250035592189</v>
      </c>
      <c r="J9" s="64" t="n">
        <f aca="false">(Y9*J$4-AB9*Inputs!$B$40)/AC9-('Voyage Model'!$D$42)</f>
        <v>0.00860880661811381</v>
      </c>
      <c r="K9" s="64" t="n">
        <f aca="false">(Y9*K$4-AB9*Inputs!$B$40)/AC9-('Voyage Model'!$D$42)</f>
        <v>0.0240001135921495</v>
      </c>
      <c r="L9" s="64" t="n">
        <f aca="false">(Y9*L$4-AB9*Inputs!$B$40)/AC9-('Voyage Model'!$D$42)</f>
        <v>0.0393914205661852</v>
      </c>
      <c r="M9" s="64" t="n">
        <f aca="false">(Y9*M$4-AB9*Inputs!$B$40)/AC9-('Voyage Model'!$D$42)</f>
        <v>0.0547827275402209</v>
      </c>
      <c r="N9" s="64" t="n">
        <f aca="false">(Y9*N$4-AB9*Inputs!$B$40)/AC9-('Voyage Model'!$D$42)</f>
        <v>0.0701740345142566</v>
      </c>
      <c r="O9" s="64" t="n">
        <f aca="false">(Y9*O$4-AB9*Inputs!$B$40)/AC9-('Voyage Model'!$D$42)</f>
        <v>0.0855653414882923</v>
      </c>
      <c r="P9" s="64" t="n">
        <f aca="false">(Y9*P$4-AB9*Inputs!$B$40)/AC9-('Voyage Model'!$D$42)</f>
        <v>0.100956648462328</v>
      </c>
      <c r="Q9" s="64" t="n">
        <f aca="false">(Y9*Q$4-AB9*Inputs!$B$40)/AC9-('Voyage Model'!$D$42)</f>
        <v>0.116347955436364</v>
      </c>
      <c r="R9" s="64" t="n">
        <f aca="false">(Y9*R$4-AB9*Inputs!$B$40)/AC9-('Voyage Model'!$D$42)</f>
        <v>0.131739262410399</v>
      </c>
      <c r="S9" s="64" t="n">
        <f aca="false">(Y9*S$4-AB9*Inputs!$B$40)/AC9-('Voyage Model'!$D$42)</f>
        <v>0.147130569384435</v>
      </c>
      <c r="T9" s="64" t="n">
        <f aca="false">(Y9*T$4-AB9*Inputs!$B$40)/AC9-('Voyage Model'!$D$42)</f>
        <v>0.162521876358471</v>
      </c>
      <c r="U9" s="64" t="n">
        <f aca="false">(Y9*U$4-AB9*Inputs!$B$40)/AC9-('Voyage Model'!$D$42)</f>
        <v>0.177913183332507</v>
      </c>
      <c r="X9" s="58" t="n">
        <f aca="false">A9*Inputs!$B$10*Inputs!$B$11</f>
        <v>4163040</v>
      </c>
      <c r="Y9" s="58" t="n">
        <f aca="false">X9*'Voyage Model'!$C$9</f>
        <v>241434.534219534</v>
      </c>
      <c r="Z9" s="58" t="n">
        <f aca="false">B9*1000*'Voyage Model'!$C$6*Inputs!$B$33</f>
        <v>15591138.3557707</v>
      </c>
      <c r="AA9" s="58" t="n">
        <f aca="false">Y9*Inputs!$B$34*Inputs!$B$35</f>
        <v>28972144.106344</v>
      </c>
      <c r="AB9" s="57" t="n">
        <f aca="false">MIN(AA9,Z9)/Inputs!$B$33/1000</f>
        <v>387.839262581361</v>
      </c>
      <c r="AC9" s="58" t="n">
        <f aca="false">X9*(1-'Voyage Model'!$C$9)</f>
        <v>3921605.46578047</v>
      </c>
    </row>
    <row r="10" customFormat="false" ht="15" hidden="false" customHeight="false" outlineLevel="0" collapsed="false">
      <c r="A10" s="58" t="n">
        <v>70000</v>
      </c>
      <c r="B10" s="35" t="n">
        <f aca="false">Inputs!$B$15*(A10/Inputs!$B$9)^Inputs!$B$44</f>
        <v>14.4036438045398</v>
      </c>
      <c r="C10" s="66" t="n">
        <f aca="false">IF(Y10=0,"n/a",('Voyage Model'!$D$42*AC10+AB10*Inputs!$B$40)/Y10)</f>
        <v>1.06194025732827</v>
      </c>
      <c r="E10" s="64" t="n">
        <f aca="false">(Y10*E$4-AB10*Inputs!$B$40)/AC10-('Voyage Model'!$D$42)</f>
        <v>-0.0653785939545033</v>
      </c>
      <c r="F10" s="64" t="n">
        <f aca="false">(Y10*F$4-AB10*Inputs!$B$40)/AC10-('Voyage Model'!$D$42)</f>
        <v>-0.0499872869804676</v>
      </c>
      <c r="G10" s="64" t="n">
        <f aca="false">(Y10*G$4-AB10*Inputs!$B$40)/AC10-('Voyage Model'!$D$42)</f>
        <v>-0.0345959800064319</v>
      </c>
      <c r="H10" s="64" t="n">
        <f aca="false">(Y10*H$4-AB10*Inputs!$B$40)/AC10-('Voyage Model'!$D$42)</f>
        <v>-0.0192046730323962</v>
      </c>
      <c r="I10" s="64" t="n">
        <f aca="false">(Y10*I$4-AB10*Inputs!$B$40)/AC10-('Voyage Model'!$D$42)</f>
        <v>-0.00381336605836047</v>
      </c>
      <c r="J10" s="64" t="n">
        <f aca="false">(Y10*J$4-AB10*Inputs!$B$40)/AC10-('Voyage Model'!$D$42)</f>
        <v>0.0115779409156752</v>
      </c>
      <c r="K10" s="64" t="n">
        <f aca="false">(Y10*K$4-AB10*Inputs!$B$40)/AC10-('Voyage Model'!$D$42)</f>
        <v>0.0269692478897109</v>
      </c>
      <c r="L10" s="64" t="n">
        <f aca="false">(Y10*L$4-AB10*Inputs!$B$40)/AC10-('Voyage Model'!$D$42)</f>
        <v>0.0423605548637466</v>
      </c>
      <c r="M10" s="64" t="n">
        <f aca="false">(Y10*M$4-AB10*Inputs!$B$40)/AC10-('Voyage Model'!$D$42)</f>
        <v>0.0577518618377823</v>
      </c>
      <c r="N10" s="64" t="n">
        <f aca="false">(Y10*N$4-AB10*Inputs!$B$40)/AC10-('Voyage Model'!$D$42)</f>
        <v>0.073143168811818</v>
      </c>
      <c r="O10" s="64" t="n">
        <f aca="false">(Y10*O$4-AB10*Inputs!$B$40)/AC10-('Voyage Model'!$D$42)</f>
        <v>0.0885344757858537</v>
      </c>
      <c r="P10" s="64" t="n">
        <f aca="false">(Y10*P$4-AB10*Inputs!$B$40)/AC10-('Voyage Model'!$D$42)</f>
        <v>0.103925782759889</v>
      </c>
      <c r="Q10" s="64" t="n">
        <f aca="false">(Y10*Q$4-AB10*Inputs!$B$40)/AC10-('Voyage Model'!$D$42)</f>
        <v>0.119317089733925</v>
      </c>
      <c r="R10" s="64" t="n">
        <f aca="false">(Y10*R$4-AB10*Inputs!$B$40)/AC10-('Voyage Model'!$D$42)</f>
        <v>0.134708396707961</v>
      </c>
      <c r="S10" s="64" t="n">
        <f aca="false">(Y10*S$4-AB10*Inputs!$B$40)/AC10-('Voyage Model'!$D$42)</f>
        <v>0.150099703681997</v>
      </c>
      <c r="T10" s="64" t="n">
        <f aca="false">(Y10*T$4-AB10*Inputs!$B$40)/AC10-('Voyage Model'!$D$42)</f>
        <v>0.165491010656032</v>
      </c>
      <c r="U10" s="64" t="n">
        <f aca="false">(Y10*U$4-AB10*Inputs!$B$40)/AC10-('Voyage Model'!$D$42)</f>
        <v>0.180882317630068</v>
      </c>
      <c r="X10" s="58" t="n">
        <f aca="false">A10*Inputs!$B$10*Inputs!$B$11</f>
        <v>4856880</v>
      </c>
      <c r="Y10" s="58" t="n">
        <f aca="false">X10*'Voyage Model'!$C$9</f>
        <v>281673.623256123</v>
      </c>
      <c r="Z10" s="58" t="n">
        <f aca="false">B10*1000*'Voyage Model'!$C$6*Inputs!$B$33</f>
        <v>17279506.4695678</v>
      </c>
      <c r="AA10" s="58" t="n">
        <f aca="false">Y10*Inputs!$B$34*Inputs!$B$35</f>
        <v>33800834.7907347</v>
      </c>
      <c r="AB10" s="57" t="n">
        <f aca="false">MIN(AA10,Z10)/Inputs!$B$33/1000</f>
        <v>429.838469392234</v>
      </c>
      <c r="AC10" s="58" t="n">
        <f aca="false">X10*(1-'Voyage Model'!$C$9)</f>
        <v>4575206.37674388</v>
      </c>
    </row>
    <row r="11" customFormat="false" ht="15" hidden="false" customHeight="false" outlineLevel="0" collapsed="false">
      <c r="A11" s="58" t="n">
        <v>80000</v>
      </c>
      <c r="B11" s="35" t="n">
        <f aca="false">Inputs!$B$15*(A11/Inputs!$B$9)^Inputs!$B$44</f>
        <v>15.7453747493425</v>
      </c>
      <c r="C11" s="66" t="n">
        <f aca="false">IF(Y11=0,"n/a",('Voyage Model'!$D$42*AC11+AB11*Inputs!$B$40)/Y11)</f>
        <v>1.0221187144836</v>
      </c>
      <c r="E11" s="64" t="n">
        <f aca="false">(Y11*E$4-AB11*Inputs!$B$40)/AC11-('Voyage Model'!$D$42)</f>
        <v>-0.0629269715940954</v>
      </c>
      <c r="F11" s="64" t="n">
        <f aca="false">(Y11*F$4-AB11*Inputs!$B$40)/AC11-('Voyage Model'!$D$42)</f>
        <v>-0.0475356646200597</v>
      </c>
      <c r="G11" s="64" t="n">
        <f aca="false">(Y11*G$4-AB11*Inputs!$B$40)/AC11-('Voyage Model'!$D$42)</f>
        <v>-0.032144357646024</v>
      </c>
      <c r="H11" s="64" t="n">
        <f aca="false">(Y11*H$4-AB11*Inputs!$B$40)/AC11-('Voyage Model'!$D$42)</f>
        <v>-0.0167530506719883</v>
      </c>
      <c r="I11" s="64" t="n">
        <f aca="false">(Y11*I$4-AB11*Inputs!$B$40)/AC11-('Voyage Model'!$D$42)</f>
        <v>-0.00136174369795261</v>
      </c>
      <c r="J11" s="64" t="n">
        <f aca="false">(Y11*J$4-AB11*Inputs!$B$40)/AC11-('Voyage Model'!$D$42)</f>
        <v>0.0140295632760831</v>
      </c>
      <c r="K11" s="64" t="n">
        <f aca="false">(Y11*K$4-AB11*Inputs!$B$40)/AC11-('Voyage Model'!$D$42)</f>
        <v>0.0294208702501188</v>
      </c>
      <c r="L11" s="64" t="n">
        <f aca="false">(Y11*L$4-AB11*Inputs!$B$40)/AC11-('Voyage Model'!$D$42)</f>
        <v>0.0448121772241545</v>
      </c>
      <c r="M11" s="64" t="n">
        <f aca="false">(Y11*M$4-AB11*Inputs!$B$40)/AC11-('Voyage Model'!$D$42)</f>
        <v>0.0602034841981902</v>
      </c>
      <c r="N11" s="64" t="n">
        <f aca="false">(Y11*N$4-AB11*Inputs!$B$40)/AC11-('Voyage Model'!$D$42)</f>
        <v>0.0755947911722259</v>
      </c>
      <c r="O11" s="64" t="n">
        <f aca="false">(Y11*O$4-AB11*Inputs!$B$40)/AC11-('Voyage Model'!$D$42)</f>
        <v>0.0909860981462616</v>
      </c>
      <c r="P11" s="64" t="n">
        <f aca="false">(Y11*P$4-AB11*Inputs!$B$40)/AC11-('Voyage Model'!$D$42)</f>
        <v>0.106377405120297</v>
      </c>
      <c r="Q11" s="64" t="n">
        <f aca="false">(Y11*Q$4-AB11*Inputs!$B$40)/AC11-('Voyage Model'!$D$42)</f>
        <v>0.121768712094333</v>
      </c>
      <c r="R11" s="64" t="n">
        <f aca="false">(Y11*R$4-AB11*Inputs!$B$40)/AC11-('Voyage Model'!$D$42)</f>
        <v>0.137160019068369</v>
      </c>
      <c r="S11" s="64" t="n">
        <f aca="false">(Y11*S$4-AB11*Inputs!$B$40)/AC11-('Voyage Model'!$D$42)</f>
        <v>0.152551326042404</v>
      </c>
      <c r="T11" s="64" t="n">
        <f aca="false">(Y11*T$4-AB11*Inputs!$B$40)/AC11-('Voyage Model'!$D$42)</f>
        <v>0.16794263301644</v>
      </c>
      <c r="U11" s="64" t="n">
        <f aca="false">(Y11*U$4-AB11*Inputs!$B$40)/AC11-('Voyage Model'!$D$42)</f>
        <v>0.183333939990476</v>
      </c>
      <c r="X11" s="58" t="n">
        <f aca="false">A11*Inputs!$B$10*Inputs!$B$11</f>
        <v>5550720</v>
      </c>
      <c r="Y11" s="58" t="n">
        <f aca="false">X11*'Voyage Model'!$C$9</f>
        <v>321912.712292712</v>
      </c>
      <c r="Z11" s="58" t="n">
        <f aca="false">B11*1000*'Voyage Model'!$C$6*Inputs!$B$33</f>
        <v>18889130.3158497</v>
      </c>
      <c r="AA11" s="58" t="n">
        <f aca="false">Y11*Inputs!$B$34*Inputs!$B$35</f>
        <v>38629525.4751254</v>
      </c>
      <c r="AB11" s="57" t="n">
        <f aca="false">MIN(AA11,Z11)/Inputs!$B$33/1000</f>
        <v>469.878863578351</v>
      </c>
      <c r="AC11" s="58" t="n">
        <f aca="false">X11*(1-'Voyage Model'!$C$9)</f>
        <v>5228807.28770729</v>
      </c>
    </row>
    <row r="12" customFormat="false" ht="15" hidden="false" customHeight="false" outlineLevel="0" collapsed="false">
      <c r="A12" s="58" t="n">
        <v>90000</v>
      </c>
      <c r="B12" s="35" t="n">
        <f aca="false">Inputs!$B$15*(A12/Inputs!$B$9)^Inputs!$B$44</f>
        <v>17.0322386647241</v>
      </c>
      <c r="C12" s="66" t="n">
        <f aca="false">IF(Y12=0,"n/a",('Voyage Model'!$D$42*AC12+AB12*Inputs!$B$40)/Y12)</f>
        <v>0.988433683463172</v>
      </c>
      <c r="E12" s="64" t="n">
        <f aca="false">(Y12*E$4-AB12*Inputs!$B$40)/AC12-('Voyage Model'!$D$42)</f>
        <v>-0.0608531449826341</v>
      </c>
      <c r="F12" s="64" t="n">
        <f aca="false">(Y12*F$4-AB12*Inputs!$B$40)/AC12-('Voyage Model'!$D$42)</f>
        <v>-0.0454618380085984</v>
      </c>
      <c r="G12" s="64" t="n">
        <f aca="false">(Y12*G$4-AB12*Inputs!$B$40)/AC12-('Voyage Model'!$D$42)</f>
        <v>-0.0300705310345627</v>
      </c>
      <c r="H12" s="64" t="n">
        <f aca="false">(Y12*H$4-AB12*Inputs!$B$40)/AC12-('Voyage Model'!$D$42)</f>
        <v>-0.014679224060527</v>
      </c>
      <c r="I12" s="64" t="n">
        <f aca="false">(Y12*I$4-AB12*Inputs!$B$40)/AC12-('Voyage Model'!$D$42)</f>
        <v>0.000712082913508718</v>
      </c>
      <c r="J12" s="64" t="n">
        <f aca="false">(Y12*J$4-AB12*Inputs!$B$40)/AC12-('Voyage Model'!$D$42)</f>
        <v>0.0161033898875444</v>
      </c>
      <c r="K12" s="64" t="n">
        <f aca="false">(Y12*K$4-AB12*Inputs!$B$40)/AC12-('Voyage Model'!$D$42)</f>
        <v>0.0314946968615801</v>
      </c>
      <c r="L12" s="64" t="n">
        <f aca="false">(Y12*L$4-AB12*Inputs!$B$40)/AC12-('Voyage Model'!$D$42)</f>
        <v>0.0468860038356158</v>
      </c>
      <c r="M12" s="64" t="n">
        <f aca="false">(Y12*M$4-AB12*Inputs!$B$40)/AC12-('Voyage Model'!$D$42)</f>
        <v>0.0622773108096515</v>
      </c>
      <c r="N12" s="64" t="n">
        <f aca="false">(Y12*N$4-AB12*Inputs!$B$40)/AC12-('Voyage Model'!$D$42)</f>
        <v>0.0776686177836872</v>
      </c>
      <c r="O12" s="64" t="n">
        <f aca="false">(Y12*O$4-AB12*Inputs!$B$40)/AC12-('Voyage Model'!$D$42)</f>
        <v>0.0930599247577229</v>
      </c>
      <c r="P12" s="64" t="n">
        <f aca="false">(Y12*P$4-AB12*Inputs!$B$40)/AC12-('Voyage Model'!$D$42)</f>
        <v>0.108451231731759</v>
      </c>
      <c r="Q12" s="64" t="n">
        <f aca="false">(Y12*Q$4-AB12*Inputs!$B$40)/AC12-('Voyage Model'!$D$42)</f>
        <v>0.123842538705794</v>
      </c>
      <c r="R12" s="64" t="n">
        <f aca="false">(Y12*R$4-AB12*Inputs!$B$40)/AC12-('Voyage Model'!$D$42)</f>
        <v>0.13923384567983</v>
      </c>
      <c r="S12" s="64" t="n">
        <f aca="false">(Y12*S$4-AB12*Inputs!$B$40)/AC12-('Voyage Model'!$D$42)</f>
        <v>0.154625152653866</v>
      </c>
      <c r="T12" s="64" t="n">
        <f aca="false">(Y12*T$4-AB12*Inputs!$B$40)/AC12-('Voyage Model'!$D$42)</f>
        <v>0.170016459627901</v>
      </c>
      <c r="U12" s="64" t="n">
        <f aca="false">(Y12*U$4-AB12*Inputs!$B$40)/AC12-('Voyage Model'!$D$42)</f>
        <v>0.185407766601937</v>
      </c>
      <c r="X12" s="58" t="n">
        <f aca="false">A12*Inputs!$B$10*Inputs!$B$11</f>
        <v>6244560</v>
      </c>
      <c r="Y12" s="58" t="n">
        <f aca="false">X12*'Voyage Model'!$C$9</f>
        <v>362151.8013293</v>
      </c>
      <c r="Z12" s="58" t="n">
        <f aca="false">B12*1000*'Voyage Model'!$C$6*Inputs!$B$33</f>
        <v>20432932.2629849</v>
      </c>
      <c r="AA12" s="58" t="n">
        <f aca="false">Y12*Inputs!$B$34*Inputs!$B$35</f>
        <v>43458216.159516</v>
      </c>
      <c r="AB12" s="57" t="n">
        <f aca="false">MIN(AA12,Z12)/Inputs!$B$33/1000</f>
        <v>508.281897089176</v>
      </c>
      <c r="AC12" s="58" t="n">
        <f aca="false">X12*(1-'Voyage Model'!$C$9)</f>
        <v>5882408.1986707</v>
      </c>
    </row>
    <row r="13" customFormat="false" ht="15" hidden="false" customHeight="false" outlineLevel="0" collapsed="false">
      <c r="A13" s="58" t="n">
        <v>100000</v>
      </c>
      <c r="B13" s="35" t="n">
        <f aca="false">Inputs!$B$15*(A13/Inputs!$B$9)^Inputs!$B$44</f>
        <v>18.2722479652881</v>
      </c>
      <c r="C13" s="66" t="n">
        <f aca="false">IF(Y13=0,"n/a",('Voyage Model'!$D$42*AC13+AB13*Inputs!$B$40)/Y13)</f>
        <v>0.959400743472283</v>
      </c>
      <c r="E13" s="64" t="n">
        <f aca="false">(Y13*E$4-AB13*Inputs!$B$40)/AC13-('Voyage Model'!$D$42)</f>
        <v>-0.0590657254155999</v>
      </c>
      <c r="F13" s="64" t="n">
        <f aca="false">(Y13*F$4-AB13*Inputs!$B$40)/AC13-('Voyage Model'!$D$42)</f>
        <v>-0.0436744184415642</v>
      </c>
      <c r="G13" s="64" t="n">
        <f aca="false">(Y13*G$4-AB13*Inputs!$B$40)/AC13-('Voyage Model'!$D$42)</f>
        <v>-0.0282831114675285</v>
      </c>
      <c r="H13" s="64" t="n">
        <f aca="false">(Y13*H$4-AB13*Inputs!$B$40)/AC13-('Voyage Model'!$D$42)</f>
        <v>-0.0128918044934928</v>
      </c>
      <c r="I13" s="64" t="n">
        <f aca="false">(Y13*I$4-AB13*Inputs!$B$40)/AC13-('Voyage Model'!$D$42)</f>
        <v>0.00249950248054286</v>
      </c>
      <c r="J13" s="64" t="n">
        <f aca="false">(Y13*J$4-AB13*Inputs!$B$40)/AC13-('Voyage Model'!$D$42)</f>
        <v>0.0178908094545786</v>
      </c>
      <c r="K13" s="64" t="n">
        <f aca="false">(Y13*K$4-AB13*Inputs!$B$40)/AC13-('Voyage Model'!$D$42)</f>
        <v>0.0332821164286143</v>
      </c>
      <c r="L13" s="64" t="n">
        <f aca="false">(Y13*L$4-AB13*Inputs!$B$40)/AC13-('Voyage Model'!$D$42)</f>
        <v>0.04867342340265</v>
      </c>
      <c r="M13" s="64" t="n">
        <f aca="false">(Y13*M$4-AB13*Inputs!$B$40)/AC13-('Voyage Model'!$D$42)</f>
        <v>0.0640647303766856</v>
      </c>
      <c r="N13" s="64" t="n">
        <f aca="false">(Y13*N$4-AB13*Inputs!$B$40)/AC13-('Voyage Model'!$D$42)</f>
        <v>0.0794560373507213</v>
      </c>
      <c r="O13" s="64" t="n">
        <f aca="false">(Y13*O$4-AB13*Inputs!$B$40)/AC13-('Voyage Model'!$D$42)</f>
        <v>0.094847344324757</v>
      </c>
      <c r="P13" s="64" t="n">
        <f aca="false">(Y13*P$4-AB13*Inputs!$B$40)/AC13-('Voyage Model'!$D$42)</f>
        <v>0.110238651298793</v>
      </c>
      <c r="Q13" s="64" t="n">
        <f aca="false">(Y13*Q$4-AB13*Inputs!$B$40)/AC13-('Voyage Model'!$D$42)</f>
        <v>0.125629958272828</v>
      </c>
      <c r="R13" s="64" t="n">
        <f aca="false">(Y13*R$4-AB13*Inputs!$B$40)/AC13-('Voyage Model'!$D$42)</f>
        <v>0.141021265246864</v>
      </c>
      <c r="S13" s="64" t="n">
        <f aca="false">(Y13*S$4-AB13*Inputs!$B$40)/AC13-('Voyage Model'!$D$42)</f>
        <v>0.1564125722209</v>
      </c>
      <c r="T13" s="64" t="n">
        <f aca="false">(Y13*T$4-AB13*Inputs!$B$40)/AC13-('Voyage Model'!$D$42)</f>
        <v>0.171803879194936</v>
      </c>
      <c r="U13" s="64" t="n">
        <f aca="false">(Y13*U$4-AB13*Inputs!$B$40)/AC13-('Voyage Model'!$D$42)</f>
        <v>0.187195186168971</v>
      </c>
      <c r="X13" s="58" t="n">
        <f aca="false">A13*Inputs!$B$10*Inputs!$B$11</f>
        <v>6938400</v>
      </c>
      <c r="Y13" s="58" t="n">
        <f aca="false">X13*'Voyage Model'!$C$9</f>
        <v>402390.890365889</v>
      </c>
      <c r="Z13" s="58" t="n">
        <f aca="false">B13*1000*'Voyage Model'!$C$6*Inputs!$B$33</f>
        <v>21920524.5016007</v>
      </c>
      <c r="AA13" s="58" t="n">
        <f aca="false">Y13*Inputs!$B$34*Inputs!$B$35</f>
        <v>48286906.8439067</v>
      </c>
      <c r="AB13" s="57" t="n">
        <f aca="false">MIN(AA13,Z13)/Inputs!$B$33/1000</f>
        <v>545.286679144296</v>
      </c>
      <c r="AC13" s="58" t="n">
        <f aca="false">X13*(1-'Voyage Model'!$C$9)</f>
        <v>6536009.10963411</v>
      </c>
    </row>
    <row r="14" customFormat="false" ht="15" hidden="false" customHeight="false" outlineLevel="0" collapsed="false">
      <c r="A14" s="58" t="n">
        <v>110000</v>
      </c>
      <c r="B14" s="35" t="n">
        <f aca="false">Inputs!$B$15*(A14/Inputs!$B$9)^Inputs!$B$44</f>
        <v>19.4715669055862</v>
      </c>
      <c r="C14" s="66" t="n">
        <f aca="false">IF(Y14=0,"n/a",('Voyage Model'!$D$42*AC14+AB14*Inputs!$B$40)/Y14)</f>
        <v>0.934000500751679</v>
      </c>
      <c r="E14" s="64" t="n">
        <f aca="false">(Y14*E$4-AB14*Inputs!$B$40)/AC14-('Voyage Model'!$D$42)</f>
        <v>-0.0575019536838886</v>
      </c>
      <c r="F14" s="64" t="n">
        <f aca="false">(Y14*F$4-AB14*Inputs!$B$40)/AC14-('Voyage Model'!$D$42)</f>
        <v>-0.0421106467098529</v>
      </c>
      <c r="G14" s="64" t="n">
        <f aca="false">(Y14*G$4-AB14*Inputs!$B$40)/AC14-('Voyage Model'!$D$42)</f>
        <v>-0.0267193397358172</v>
      </c>
      <c r="H14" s="64" t="n">
        <f aca="false">(Y14*H$4-AB14*Inputs!$B$40)/AC14-('Voyage Model'!$D$42)</f>
        <v>-0.0113280327617815</v>
      </c>
      <c r="I14" s="64" t="n">
        <f aca="false">(Y14*I$4-AB14*Inputs!$B$40)/AC14-('Voyage Model'!$D$42)</f>
        <v>0.00406327421225421</v>
      </c>
      <c r="J14" s="64" t="n">
        <f aca="false">(Y14*J$4-AB14*Inputs!$B$40)/AC14-('Voyage Model'!$D$42)</f>
        <v>0.0194545811862899</v>
      </c>
      <c r="K14" s="64" t="n">
        <f aca="false">(Y14*K$4-AB14*Inputs!$B$40)/AC14-('Voyage Model'!$D$42)</f>
        <v>0.0348458881603256</v>
      </c>
      <c r="L14" s="64" t="n">
        <f aca="false">(Y14*L$4-AB14*Inputs!$B$40)/AC14-('Voyage Model'!$D$42)</f>
        <v>0.0502371951343613</v>
      </c>
      <c r="M14" s="64" t="n">
        <f aca="false">(Y14*M$4-AB14*Inputs!$B$40)/AC14-('Voyage Model'!$D$42)</f>
        <v>0.065628502108397</v>
      </c>
      <c r="N14" s="64" t="n">
        <f aca="false">(Y14*N$4-AB14*Inputs!$B$40)/AC14-('Voyage Model'!$D$42)</f>
        <v>0.0810198090824327</v>
      </c>
      <c r="O14" s="64" t="n">
        <f aca="false">(Y14*O$4-AB14*Inputs!$B$40)/AC14-('Voyage Model'!$D$42)</f>
        <v>0.0964111160564684</v>
      </c>
      <c r="P14" s="64" t="n">
        <f aca="false">(Y14*P$4-AB14*Inputs!$B$40)/AC14-('Voyage Model'!$D$42)</f>
        <v>0.111802423030504</v>
      </c>
      <c r="Q14" s="64" t="n">
        <f aca="false">(Y14*Q$4-AB14*Inputs!$B$40)/AC14-('Voyage Model'!$D$42)</f>
        <v>0.12719373000454</v>
      </c>
      <c r="R14" s="64" t="n">
        <f aca="false">(Y14*R$4-AB14*Inputs!$B$40)/AC14-('Voyage Model'!$D$42)</f>
        <v>0.142585036978576</v>
      </c>
      <c r="S14" s="64" t="n">
        <f aca="false">(Y14*S$4-AB14*Inputs!$B$40)/AC14-('Voyage Model'!$D$42)</f>
        <v>0.157976343952611</v>
      </c>
      <c r="T14" s="64" t="n">
        <f aca="false">(Y14*T$4-AB14*Inputs!$B$40)/AC14-('Voyage Model'!$D$42)</f>
        <v>0.173367650926647</v>
      </c>
      <c r="U14" s="64" t="n">
        <f aca="false">(Y14*U$4-AB14*Inputs!$B$40)/AC14-('Voyage Model'!$D$42)</f>
        <v>0.188758957900683</v>
      </c>
      <c r="X14" s="58" t="n">
        <f aca="false">A14*Inputs!$B$10*Inputs!$B$11</f>
        <v>7632240</v>
      </c>
      <c r="Y14" s="58" t="n">
        <f aca="false">X14*'Voyage Model'!$C$9</f>
        <v>442629.979402478</v>
      </c>
      <c r="Z14" s="58" t="n">
        <f aca="false">B14*1000*'Voyage Model'!$C$6*Inputs!$B$33</f>
        <v>23359302.0546407</v>
      </c>
      <c r="AA14" s="58" t="n">
        <f aca="false">Y14*Inputs!$B$34*Inputs!$B$35</f>
        <v>53115597.5282974</v>
      </c>
      <c r="AB14" s="57" t="n">
        <f aca="false">MIN(AA14,Z14)/Inputs!$B$33/1000</f>
        <v>581.077165538326</v>
      </c>
      <c r="AC14" s="58" t="n">
        <f aca="false">X14*(1-'Voyage Model'!$C$9)</f>
        <v>7189610.02059752</v>
      </c>
    </row>
    <row r="15" customFormat="false" ht="15" hidden="false" customHeight="false" outlineLevel="0" collapsed="false">
      <c r="A15" s="58" t="n">
        <v>120000</v>
      </c>
      <c r="B15" s="35" t="n">
        <f aca="false">Inputs!$B$15*(A15/Inputs!$B$9)^Inputs!$B$44</f>
        <v>20.6350664311531</v>
      </c>
      <c r="C15" s="66" t="n">
        <f aca="false">IF(Y15=0,"n/a",('Voyage Model'!$D$42*AC15+AB15*Inputs!$B$40)/Y15)</f>
        <v>0.911505401901978</v>
      </c>
      <c r="E15" s="64" t="n">
        <f aca="false">(Y15*E$4-AB15*Inputs!$B$40)/AC15-('Voyage Model'!$D$42)</f>
        <v>-0.0561170377966605</v>
      </c>
      <c r="F15" s="64" t="n">
        <f aca="false">(Y15*F$4-AB15*Inputs!$B$40)/AC15-('Voyage Model'!$D$42)</f>
        <v>-0.0407257308226248</v>
      </c>
      <c r="G15" s="64" t="n">
        <f aca="false">(Y15*G$4-AB15*Inputs!$B$40)/AC15-('Voyage Model'!$D$42)</f>
        <v>-0.0253344238485891</v>
      </c>
      <c r="H15" s="64" t="n">
        <f aca="false">(Y15*H$4-AB15*Inputs!$B$40)/AC15-('Voyage Model'!$D$42)</f>
        <v>-0.00994311687455341</v>
      </c>
      <c r="I15" s="64" t="n">
        <f aca="false">(Y15*I$4-AB15*Inputs!$B$40)/AC15-('Voyage Model'!$D$42)</f>
        <v>0.00544819009948229</v>
      </c>
      <c r="J15" s="64" t="n">
        <f aca="false">(Y15*J$4-AB15*Inputs!$B$40)/AC15-('Voyage Model'!$D$42)</f>
        <v>0.020839497073518</v>
      </c>
      <c r="K15" s="64" t="n">
        <f aca="false">(Y15*K$4-AB15*Inputs!$B$40)/AC15-('Voyage Model'!$D$42)</f>
        <v>0.0362308040475537</v>
      </c>
      <c r="L15" s="64" t="n">
        <f aca="false">(Y15*L$4-AB15*Inputs!$B$40)/AC15-('Voyage Model'!$D$42)</f>
        <v>0.0516221110215894</v>
      </c>
      <c r="M15" s="64" t="n">
        <f aca="false">(Y15*M$4-AB15*Inputs!$B$40)/AC15-('Voyage Model'!$D$42)</f>
        <v>0.0670134179956251</v>
      </c>
      <c r="N15" s="64" t="n">
        <f aca="false">(Y15*N$4-AB15*Inputs!$B$40)/AC15-('Voyage Model'!$D$42)</f>
        <v>0.0824047249696608</v>
      </c>
      <c r="O15" s="64" t="n">
        <f aca="false">(Y15*O$4-AB15*Inputs!$B$40)/AC15-('Voyage Model'!$D$42)</f>
        <v>0.0977960319436965</v>
      </c>
      <c r="P15" s="64" t="n">
        <f aca="false">(Y15*P$4-AB15*Inputs!$B$40)/AC15-('Voyage Model'!$D$42)</f>
        <v>0.113187338917732</v>
      </c>
      <c r="Q15" s="64" t="n">
        <f aca="false">(Y15*Q$4-AB15*Inputs!$B$40)/AC15-('Voyage Model'!$D$42)</f>
        <v>0.128578645891768</v>
      </c>
      <c r="R15" s="64" t="n">
        <f aca="false">(Y15*R$4-AB15*Inputs!$B$40)/AC15-('Voyage Model'!$D$42)</f>
        <v>0.143969952865804</v>
      </c>
      <c r="S15" s="64" t="n">
        <f aca="false">(Y15*S$4-AB15*Inputs!$B$40)/AC15-('Voyage Model'!$D$42)</f>
        <v>0.159361259839839</v>
      </c>
      <c r="T15" s="64" t="n">
        <f aca="false">(Y15*T$4-AB15*Inputs!$B$40)/AC15-('Voyage Model'!$D$42)</f>
        <v>0.174752566813875</v>
      </c>
      <c r="U15" s="64" t="n">
        <f aca="false">(Y15*U$4-AB15*Inputs!$B$40)/AC15-('Voyage Model'!$D$42)</f>
        <v>0.190143873787911</v>
      </c>
      <c r="X15" s="58" t="n">
        <f aca="false">A15*Inputs!$B$10*Inputs!$B$11</f>
        <v>8326080</v>
      </c>
      <c r="Y15" s="58" t="n">
        <f aca="false">X15*'Voyage Model'!$C$9</f>
        <v>482869.068439067</v>
      </c>
      <c r="Z15" s="58" t="n">
        <f aca="false">B15*1000*'Voyage Model'!$C$6*Inputs!$B$33</f>
        <v>24755108.411157</v>
      </c>
      <c r="AA15" s="58" t="n">
        <f aca="false">Y15*Inputs!$B$34*Inputs!$B$35</f>
        <v>57944288.2126881</v>
      </c>
      <c r="AB15" s="57" t="n">
        <f aca="false">MIN(AA15,Z15)/Inputs!$B$33/1000</f>
        <v>615.798716695448</v>
      </c>
      <c r="AC15" s="58" t="n">
        <f aca="false">X15*(1-'Voyage Model'!$C$9)</f>
        <v>7843210.93156093</v>
      </c>
    </row>
    <row r="16" customFormat="false" ht="15" hidden="false" customHeight="false" outlineLevel="0" collapsed="false">
      <c r="A16" s="58" t="n">
        <v>130000</v>
      </c>
      <c r="B16" s="35" t="n">
        <f aca="false">Inputs!$B$15*(A16/Inputs!$B$9)^Inputs!$B$44</f>
        <v>21.7666801826137</v>
      </c>
      <c r="C16" s="66" t="n">
        <f aca="false">IF(Y16=0,"n/a",('Voyage Model'!$D$42*AC16+AB16*Inputs!$B$40)/Y16)</f>
        <v>0.89137967321263</v>
      </c>
      <c r="E16" s="64" t="n">
        <f aca="false">(Y16*E$4-AB16*Inputs!$B$40)/AC16-('Voyage Model'!$D$42)</f>
        <v>-0.0548779927233249</v>
      </c>
      <c r="F16" s="64" t="n">
        <f aca="false">(Y16*F$4-AB16*Inputs!$B$40)/AC16-('Voyage Model'!$D$42)</f>
        <v>-0.0394866857492892</v>
      </c>
      <c r="G16" s="64" t="n">
        <f aca="false">(Y16*G$4-AB16*Inputs!$B$40)/AC16-('Voyage Model'!$D$42)</f>
        <v>-0.0240953787752535</v>
      </c>
      <c r="H16" s="64" t="n">
        <f aca="false">(Y16*H$4-AB16*Inputs!$B$40)/AC16-('Voyage Model'!$D$42)</f>
        <v>-0.00870407180121777</v>
      </c>
      <c r="I16" s="64" t="n">
        <f aca="false">(Y16*I$4-AB16*Inputs!$B$40)/AC16-('Voyage Model'!$D$42)</f>
        <v>0.00668723517281793</v>
      </c>
      <c r="J16" s="64" t="n">
        <f aca="false">(Y16*J$4-AB16*Inputs!$B$40)/AC16-('Voyage Model'!$D$42)</f>
        <v>0.0220785421468536</v>
      </c>
      <c r="K16" s="64" t="n">
        <f aca="false">(Y16*K$4-AB16*Inputs!$B$40)/AC16-('Voyage Model'!$D$42)</f>
        <v>0.0374698491208893</v>
      </c>
      <c r="L16" s="64" t="n">
        <f aca="false">(Y16*L$4-AB16*Inputs!$B$40)/AC16-('Voyage Model'!$D$42)</f>
        <v>0.052861156094925</v>
      </c>
      <c r="M16" s="64" t="n">
        <f aca="false">(Y16*M$4-AB16*Inputs!$B$40)/AC16-('Voyage Model'!$D$42)</f>
        <v>0.0682524630689607</v>
      </c>
      <c r="N16" s="64" t="n">
        <f aca="false">(Y16*N$4-AB16*Inputs!$B$40)/AC16-('Voyage Model'!$D$42)</f>
        <v>0.0836437700429964</v>
      </c>
      <c r="O16" s="64" t="n">
        <f aca="false">(Y16*O$4-AB16*Inputs!$B$40)/AC16-('Voyage Model'!$D$42)</f>
        <v>0.0990350770170321</v>
      </c>
      <c r="P16" s="64" t="n">
        <f aca="false">(Y16*P$4-AB16*Inputs!$B$40)/AC16-('Voyage Model'!$D$42)</f>
        <v>0.114426383991068</v>
      </c>
      <c r="Q16" s="64" t="n">
        <f aca="false">(Y16*Q$4-AB16*Inputs!$B$40)/AC16-('Voyage Model'!$D$42)</f>
        <v>0.129817690965104</v>
      </c>
      <c r="R16" s="64" t="n">
        <f aca="false">(Y16*R$4-AB16*Inputs!$B$40)/AC16-('Voyage Model'!$D$42)</f>
        <v>0.145208997939139</v>
      </c>
      <c r="S16" s="64" t="n">
        <f aca="false">(Y16*S$4-AB16*Inputs!$B$40)/AC16-('Voyage Model'!$D$42)</f>
        <v>0.160600304913175</v>
      </c>
      <c r="T16" s="64" t="n">
        <f aca="false">(Y16*T$4-AB16*Inputs!$B$40)/AC16-('Voyage Model'!$D$42)</f>
        <v>0.175991611887211</v>
      </c>
      <c r="U16" s="64" t="n">
        <f aca="false">(Y16*U$4-AB16*Inputs!$B$40)/AC16-('Voyage Model'!$D$42)</f>
        <v>0.191382918861246</v>
      </c>
      <c r="X16" s="58" t="n">
        <f aca="false">A16*Inputs!$B$10*Inputs!$B$11</f>
        <v>9019920</v>
      </c>
      <c r="Y16" s="58" t="n">
        <f aca="false">X16*'Voyage Model'!$C$9</f>
        <v>523108.157475656</v>
      </c>
      <c r="Z16" s="58" t="n">
        <f aca="false">B16*1000*'Voyage Model'!$C$6*Inputs!$B$33</f>
        <v>26112662.6109666</v>
      </c>
      <c r="AA16" s="58" t="n">
        <f aca="false">Y16*Inputs!$B$34*Inputs!$B$35</f>
        <v>62772978.8970787</v>
      </c>
      <c r="AB16" s="57" t="n">
        <f aca="false">MIN(AA16,Z16)/Inputs!$B$33/1000</f>
        <v>649.568721665836</v>
      </c>
      <c r="AC16" s="58" t="n">
        <f aca="false">X16*(1-'Voyage Model'!$C$9)</f>
        <v>8496811.84252434</v>
      </c>
    </row>
    <row r="17" customFormat="false" ht="15" hidden="false" customHeight="false" outlineLevel="0" collapsed="false">
      <c r="A17" s="58" t="n">
        <v>140000</v>
      </c>
      <c r="B17" s="35" t="n">
        <f aca="false">Inputs!$B$15*(A17/Inputs!$B$9)^Inputs!$B$44</f>
        <v>22.8696427265747</v>
      </c>
      <c r="C17" s="66" t="n">
        <f aca="false">IF(Y17=0,"n/a",('Voyage Model'!$D$42*AC17+AB17*Inputs!$B$40)/Y17)</f>
        <v>0.873218399836649</v>
      </c>
      <c r="E17" s="64" t="n">
        <f aca="false">(Y17*E$4-AB17*Inputs!$B$40)/AC17-('Voyage Model'!$D$42)</f>
        <v>-0.0537598897890485</v>
      </c>
      <c r="F17" s="64" t="n">
        <f aca="false">(Y17*F$4-AB17*Inputs!$B$40)/AC17-('Voyage Model'!$D$42)</f>
        <v>-0.0383685828150128</v>
      </c>
      <c r="G17" s="64" t="n">
        <f aca="false">(Y17*G$4-AB17*Inputs!$B$40)/AC17-('Voyage Model'!$D$42)</f>
        <v>-0.0229772758409771</v>
      </c>
      <c r="H17" s="64" t="n">
        <f aca="false">(Y17*H$4-AB17*Inputs!$B$40)/AC17-('Voyage Model'!$D$42)</f>
        <v>-0.00758596886694136</v>
      </c>
      <c r="I17" s="64" t="n">
        <f aca="false">(Y17*I$4-AB17*Inputs!$B$40)/AC17-('Voyage Model'!$D$42)</f>
        <v>0.00780533810709434</v>
      </c>
      <c r="J17" s="64" t="n">
        <f aca="false">(Y17*J$4-AB17*Inputs!$B$40)/AC17-('Voyage Model'!$D$42)</f>
        <v>0.02319664508113</v>
      </c>
      <c r="K17" s="64" t="n">
        <f aca="false">(Y17*K$4-AB17*Inputs!$B$40)/AC17-('Voyage Model'!$D$42)</f>
        <v>0.0385879520551657</v>
      </c>
      <c r="L17" s="64" t="n">
        <f aca="false">(Y17*L$4-AB17*Inputs!$B$40)/AC17-('Voyage Model'!$D$42)</f>
        <v>0.0539792590292014</v>
      </c>
      <c r="M17" s="64" t="n">
        <f aca="false">(Y17*M$4-AB17*Inputs!$B$40)/AC17-('Voyage Model'!$D$42)</f>
        <v>0.0693705660032371</v>
      </c>
      <c r="N17" s="64" t="n">
        <f aca="false">(Y17*N$4-AB17*Inputs!$B$40)/AC17-('Voyage Model'!$D$42)</f>
        <v>0.0847618729772728</v>
      </c>
      <c r="O17" s="64" t="n">
        <f aca="false">(Y17*O$4-AB17*Inputs!$B$40)/AC17-('Voyage Model'!$D$42)</f>
        <v>0.100153179951309</v>
      </c>
      <c r="P17" s="64" t="n">
        <f aca="false">(Y17*P$4-AB17*Inputs!$B$40)/AC17-('Voyage Model'!$D$42)</f>
        <v>0.115544486925344</v>
      </c>
      <c r="Q17" s="64" t="n">
        <f aca="false">(Y17*Q$4-AB17*Inputs!$B$40)/AC17-('Voyage Model'!$D$42)</f>
        <v>0.13093579389938</v>
      </c>
      <c r="R17" s="64" t="n">
        <f aca="false">(Y17*R$4-AB17*Inputs!$B$40)/AC17-('Voyage Model'!$D$42)</f>
        <v>0.146327100873416</v>
      </c>
      <c r="S17" s="64" t="n">
        <f aca="false">(Y17*S$4-AB17*Inputs!$B$40)/AC17-('Voyage Model'!$D$42)</f>
        <v>0.161718407847451</v>
      </c>
      <c r="T17" s="64" t="n">
        <f aca="false">(Y17*T$4-AB17*Inputs!$B$40)/AC17-('Voyage Model'!$D$42)</f>
        <v>0.177109714821487</v>
      </c>
      <c r="U17" s="64" t="n">
        <f aca="false">(Y17*U$4-AB17*Inputs!$B$40)/AC17-('Voyage Model'!$D$42)</f>
        <v>0.192501021795523</v>
      </c>
      <c r="X17" s="58" t="n">
        <f aca="false">A17*Inputs!$B$10*Inputs!$B$11</f>
        <v>9713760</v>
      </c>
      <c r="Y17" s="58" t="n">
        <f aca="false">X17*'Voyage Model'!$C$9</f>
        <v>563347.246512245</v>
      </c>
      <c r="Z17" s="58" t="n">
        <f aca="false">B17*1000*'Voyage Model'!$C$6*Inputs!$B$33</f>
        <v>27435845.0412388</v>
      </c>
      <c r="AA17" s="58" t="n">
        <f aca="false">Y17*Inputs!$B$34*Inputs!$B$35</f>
        <v>67601669.5814694</v>
      </c>
      <c r="AB17" s="57" t="n">
        <f aca="false">MIN(AA17,Z17)/Inputs!$B$33/1000</f>
        <v>682.483707493503</v>
      </c>
      <c r="AC17" s="58" t="n">
        <f aca="false">X17*(1-'Voyage Model'!$C$9)</f>
        <v>9150412.75348776</v>
      </c>
    </row>
    <row r="18" customFormat="false" ht="15" hidden="false" customHeight="false" outlineLevel="0" collapsed="false">
      <c r="A18" s="58" t="n">
        <v>150000</v>
      </c>
      <c r="B18" s="35" t="n">
        <f aca="false">Inputs!$B$15*(A18/Inputs!$B$9)^Inputs!$B$44</f>
        <v>23.9466545961993</v>
      </c>
      <c r="C18" s="66" t="n">
        <f aca="false">IF(Y18=0,"n/a",('Voyage Model'!$D$42*AC18+AB18*Inputs!$B$40)/Y18)</f>
        <v>0.856708802102632</v>
      </c>
      <c r="E18" s="64" t="n">
        <f aca="false">(Y18*E$4-AB18*Inputs!$B$40)/AC18-('Voyage Model'!$D$42)</f>
        <v>-0.05274347264208</v>
      </c>
      <c r="F18" s="64" t="n">
        <f aca="false">(Y18*F$4-AB18*Inputs!$B$40)/AC18-('Voyage Model'!$D$42)</f>
        <v>-0.0373521656680443</v>
      </c>
      <c r="G18" s="64" t="n">
        <f aca="false">(Y18*G$4-AB18*Inputs!$B$40)/AC18-('Voyage Model'!$D$42)</f>
        <v>-0.0219608586940086</v>
      </c>
      <c r="H18" s="64" t="n">
        <f aca="false">(Y18*H$4-AB18*Inputs!$B$40)/AC18-('Voyage Model'!$D$42)</f>
        <v>-0.00656955171997293</v>
      </c>
      <c r="I18" s="64" t="n">
        <f aca="false">(Y18*I$4-AB18*Inputs!$B$40)/AC18-('Voyage Model'!$D$42)</f>
        <v>0.00882175525406277</v>
      </c>
      <c r="J18" s="64" t="n">
        <f aca="false">(Y18*J$4-AB18*Inputs!$B$40)/AC18-('Voyage Model'!$D$42)</f>
        <v>0.0242130622280985</v>
      </c>
      <c r="K18" s="64" t="n">
        <f aca="false">(Y18*K$4-AB18*Inputs!$B$40)/AC18-('Voyage Model'!$D$42)</f>
        <v>0.0396043692021342</v>
      </c>
      <c r="L18" s="64" t="n">
        <f aca="false">(Y18*L$4-AB18*Inputs!$B$40)/AC18-('Voyage Model'!$D$42)</f>
        <v>0.0549956761761699</v>
      </c>
      <c r="M18" s="64" t="n">
        <f aca="false">(Y18*M$4-AB18*Inputs!$B$40)/AC18-('Voyage Model'!$D$42)</f>
        <v>0.0703869831502056</v>
      </c>
      <c r="N18" s="64" t="n">
        <f aca="false">(Y18*N$4-AB18*Inputs!$B$40)/AC18-('Voyage Model'!$D$42)</f>
        <v>0.0857782901242413</v>
      </c>
      <c r="O18" s="64" t="n">
        <f aca="false">(Y18*O$4-AB18*Inputs!$B$40)/AC18-('Voyage Model'!$D$42)</f>
        <v>0.101169597098277</v>
      </c>
      <c r="P18" s="64" t="n">
        <f aca="false">(Y18*P$4-AB18*Inputs!$B$40)/AC18-('Voyage Model'!$D$42)</f>
        <v>0.116560904072313</v>
      </c>
      <c r="Q18" s="64" t="n">
        <f aca="false">(Y18*Q$4-AB18*Inputs!$B$40)/AC18-('Voyage Model'!$D$42)</f>
        <v>0.131952211046348</v>
      </c>
      <c r="R18" s="64" t="n">
        <f aca="false">(Y18*R$4-AB18*Inputs!$B$40)/AC18-('Voyage Model'!$D$42)</f>
        <v>0.147343518020384</v>
      </c>
      <c r="S18" s="64" t="n">
        <f aca="false">(Y18*S$4-AB18*Inputs!$B$40)/AC18-('Voyage Model'!$D$42)</f>
        <v>0.16273482499442</v>
      </c>
      <c r="T18" s="64" t="n">
        <f aca="false">(Y18*T$4-AB18*Inputs!$B$40)/AC18-('Voyage Model'!$D$42)</f>
        <v>0.178126131968455</v>
      </c>
      <c r="U18" s="64" t="n">
        <f aca="false">(Y18*U$4-AB18*Inputs!$B$40)/AC18-('Voyage Model'!$D$42)</f>
        <v>0.193517438942491</v>
      </c>
      <c r="X18" s="58" t="n">
        <f aca="false">A18*Inputs!$B$10*Inputs!$B$11</f>
        <v>10407600</v>
      </c>
      <c r="Y18" s="58" t="n">
        <f aca="false">X18*'Voyage Model'!$C$9</f>
        <v>603586.335548834</v>
      </c>
      <c r="Z18" s="58" t="n">
        <f aca="false">B18*1000*'Voyage Model'!$C$6*Inputs!$B$33</f>
        <v>28727895.4294269</v>
      </c>
      <c r="AA18" s="58" t="n">
        <f aca="false">Y18*Inputs!$B$34*Inputs!$B$35</f>
        <v>72430360.2658601</v>
      </c>
      <c r="AB18" s="57" t="n">
        <f aca="false">MIN(AA18,Z18)/Inputs!$B$33/1000</f>
        <v>714.624264413604</v>
      </c>
      <c r="AC18" s="58" t="n">
        <f aca="false">X18*(1-'Voyage Model'!$C$9)</f>
        <v>9804013.66445117</v>
      </c>
    </row>
    <row r="19" customFormat="false" ht="15" hidden="false" customHeight="false" outlineLevel="0" collapsed="false">
      <c r="A19" s="58" t="n">
        <v>160000</v>
      </c>
      <c r="B19" s="35" t="n">
        <f aca="false">Inputs!$B$15*(A19/Inputs!$B$9)^Inputs!$B$44</f>
        <v>25</v>
      </c>
      <c r="C19" s="66" t="n">
        <f aca="false">IF(Y19=0,"n/a",('Voyage Model'!$D$42*AC19+AB19*Inputs!$B$40)/Y19)</f>
        <v>0.841604716867363</v>
      </c>
      <c r="E19" s="64" t="n">
        <f aca="false">(Y19*E$4-AB19*Inputs!$B$40)/AC19-('Voyage Model'!$D$42)</f>
        <v>-0.0518135861924079</v>
      </c>
      <c r="F19" s="64" t="n">
        <f aca="false">(Y19*F$4-AB19*Inputs!$B$40)/AC19-('Voyage Model'!$D$42)</f>
        <v>-0.0364222792183722</v>
      </c>
      <c r="G19" s="64" t="n">
        <f aca="false">(Y19*G$4-AB19*Inputs!$B$40)/AC19-('Voyage Model'!$D$42)</f>
        <v>-0.0210309722443365</v>
      </c>
      <c r="H19" s="64" t="n">
        <f aca="false">(Y19*H$4-AB19*Inputs!$B$40)/AC19-('Voyage Model'!$D$42)</f>
        <v>-0.00563966527030083</v>
      </c>
      <c r="I19" s="64" t="n">
        <f aca="false">(Y19*I$4-AB19*Inputs!$B$40)/AC19-('Voyage Model'!$D$42)</f>
        <v>0.00975164170373487</v>
      </c>
      <c r="J19" s="64" t="n">
        <f aca="false">(Y19*J$4-AB19*Inputs!$B$40)/AC19-('Voyage Model'!$D$42)</f>
        <v>0.0251429486777706</v>
      </c>
      <c r="K19" s="64" t="n">
        <f aca="false">(Y19*K$4-AB19*Inputs!$B$40)/AC19-('Voyage Model'!$D$42)</f>
        <v>0.0405342556518063</v>
      </c>
      <c r="L19" s="64" t="n">
        <f aca="false">(Y19*L$4-AB19*Inputs!$B$40)/AC19-('Voyage Model'!$D$42)</f>
        <v>0.055925562625842</v>
      </c>
      <c r="M19" s="64" t="n">
        <f aca="false">(Y19*M$4-AB19*Inputs!$B$40)/AC19-('Voyage Model'!$D$42)</f>
        <v>0.0713168695998777</v>
      </c>
      <c r="N19" s="64" t="n">
        <f aca="false">(Y19*N$4-AB19*Inputs!$B$40)/AC19-('Voyage Model'!$D$42)</f>
        <v>0.0867081765739133</v>
      </c>
      <c r="O19" s="64" t="n">
        <f aca="false">(Y19*O$4-AB19*Inputs!$B$40)/AC19-('Voyage Model'!$D$42)</f>
        <v>0.102099483547949</v>
      </c>
      <c r="P19" s="64" t="n">
        <f aca="false">(Y19*P$4-AB19*Inputs!$B$40)/AC19-('Voyage Model'!$D$42)</f>
        <v>0.117490790521985</v>
      </c>
      <c r="Q19" s="64" t="n">
        <f aca="false">(Y19*Q$4-AB19*Inputs!$B$40)/AC19-('Voyage Model'!$D$42)</f>
        <v>0.13288209749602</v>
      </c>
      <c r="R19" s="64" t="n">
        <f aca="false">(Y19*R$4-AB19*Inputs!$B$40)/AC19-('Voyage Model'!$D$42)</f>
        <v>0.148273404470056</v>
      </c>
      <c r="S19" s="64" t="n">
        <f aca="false">(Y19*S$4-AB19*Inputs!$B$40)/AC19-('Voyage Model'!$D$42)</f>
        <v>0.163664711444092</v>
      </c>
      <c r="T19" s="64" t="n">
        <f aca="false">(Y19*T$4-AB19*Inputs!$B$40)/AC19-('Voyage Model'!$D$42)</f>
        <v>0.179056018418128</v>
      </c>
      <c r="U19" s="64" t="n">
        <f aca="false">(Y19*U$4-AB19*Inputs!$B$40)/AC19-('Voyage Model'!$D$42)</f>
        <v>0.194447325392163</v>
      </c>
      <c r="X19" s="58" t="n">
        <f aca="false">A19*Inputs!$B$10*Inputs!$B$11</f>
        <v>11101440</v>
      </c>
      <c r="Y19" s="58" t="n">
        <f aca="false">X19*'Voyage Model'!$C$9</f>
        <v>643825.424585423</v>
      </c>
      <c r="Z19" s="58" t="n">
        <f aca="false">B19*1000*'Voyage Model'!$C$6*Inputs!$B$33</f>
        <v>29991554.0540541</v>
      </c>
      <c r="AA19" s="58" t="n">
        <f aca="false">Y19*Inputs!$B$34*Inputs!$B$35</f>
        <v>77259050.9502508</v>
      </c>
      <c r="AB19" s="57" t="n">
        <f aca="false">MIN(AA19,Z19)/Inputs!$B$33/1000</f>
        <v>746.058558558559</v>
      </c>
      <c r="AC19" s="58" t="n">
        <f aca="false">X19*(1-'Voyage Model'!$C$9)</f>
        <v>10457614.5754146</v>
      </c>
    </row>
    <row r="20" customFormat="false" ht="15" hidden="false" customHeight="false" outlineLevel="0" collapsed="false">
      <c r="A20" s="58" t="n">
        <v>170000</v>
      </c>
      <c r="B20" s="35" t="n">
        <f aca="false">Inputs!$B$15*(A20/Inputs!$B$9)^Inputs!$B$44</f>
        <v>26.0316328770174</v>
      </c>
      <c r="C20" s="66" t="n">
        <f aca="false">IF(Y20=0,"n/a",('Voyage Model'!$D$42*AC20+AB20*Inputs!$B$40)/Y20)</f>
        <v>0.827709256915677</v>
      </c>
      <c r="E20" s="64" t="n">
        <f aca="false">(Y20*E$4-AB20*Inputs!$B$40)/AC20-('Voyage Model'!$D$42)</f>
        <v>-0.0509581090337607</v>
      </c>
      <c r="F20" s="64" t="n">
        <f aca="false">(Y20*F$4-AB20*Inputs!$B$40)/AC20-('Voyage Model'!$D$42)</f>
        <v>-0.035566802059725</v>
      </c>
      <c r="G20" s="64" t="n">
        <f aca="false">(Y20*G$4-AB20*Inputs!$B$40)/AC20-('Voyage Model'!$D$42)</f>
        <v>-0.0201754950856893</v>
      </c>
      <c r="H20" s="64" t="n">
        <f aca="false">(Y20*H$4-AB20*Inputs!$B$40)/AC20-('Voyage Model'!$D$42)</f>
        <v>-0.00478418811165356</v>
      </c>
      <c r="I20" s="64" t="n">
        <f aca="false">(Y20*I$4-AB20*Inputs!$B$40)/AC20-('Voyage Model'!$D$42)</f>
        <v>0.0106071188623821</v>
      </c>
      <c r="J20" s="64" t="n">
        <f aca="false">(Y20*J$4-AB20*Inputs!$B$40)/AC20-('Voyage Model'!$D$42)</f>
        <v>0.0259984258364178</v>
      </c>
      <c r="K20" s="64" t="n">
        <f aca="false">(Y20*K$4-AB20*Inputs!$B$40)/AC20-('Voyage Model'!$D$42)</f>
        <v>0.0413897328104535</v>
      </c>
      <c r="L20" s="64" t="n">
        <f aca="false">(Y20*L$4-AB20*Inputs!$B$40)/AC20-('Voyage Model'!$D$42)</f>
        <v>0.0567810397844892</v>
      </c>
      <c r="M20" s="64" t="n">
        <f aca="false">(Y20*M$4-AB20*Inputs!$B$40)/AC20-('Voyage Model'!$D$42)</f>
        <v>0.0721723467585249</v>
      </c>
      <c r="N20" s="64" t="n">
        <f aca="false">(Y20*N$4-AB20*Inputs!$B$40)/AC20-('Voyage Model'!$D$42)</f>
        <v>0.0875636537325606</v>
      </c>
      <c r="O20" s="64" t="n">
        <f aca="false">(Y20*O$4-AB20*Inputs!$B$40)/AC20-('Voyage Model'!$D$42)</f>
        <v>0.102954960706596</v>
      </c>
      <c r="P20" s="64" t="n">
        <f aca="false">(Y20*P$4-AB20*Inputs!$B$40)/AC20-('Voyage Model'!$D$42)</f>
        <v>0.118346267680632</v>
      </c>
      <c r="Q20" s="64" t="n">
        <f aca="false">(Y20*Q$4-AB20*Inputs!$B$40)/AC20-('Voyage Model'!$D$42)</f>
        <v>0.133737574654668</v>
      </c>
      <c r="R20" s="64" t="n">
        <f aca="false">(Y20*R$4-AB20*Inputs!$B$40)/AC20-('Voyage Model'!$D$42)</f>
        <v>0.149128881628703</v>
      </c>
      <c r="S20" s="64" t="n">
        <f aca="false">(Y20*S$4-AB20*Inputs!$B$40)/AC20-('Voyage Model'!$D$42)</f>
        <v>0.164520188602739</v>
      </c>
      <c r="T20" s="64" t="n">
        <f aca="false">(Y20*T$4-AB20*Inputs!$B$40)/AC20-('Voyage Model'!$D$42)</f>
        <v>0.179911495576775</v>
      </c>
      <c r="U20" s="64" t="n">
        <f aca="false">(Y20*U$4-AB20*Inputs!$B$40)/AC20-('Voyage Model'!$D$42)</f>
        <v>0.195302802550811</v>
      </c>
      <c r="X20" s="58" t="n">
        <f aca="false">A20*Inputs!$B$10*Inputs!$B$11</f>
        <v>11795280</v>
      </c>
      <c r="Y20" s="58" t="n">
        <f aca="false">X20*'Voyage Model'!$C$9</f>
        <v>684064.513622012</v>
      </c>
      <c r="Z20" s="58" t="n">
        <f aca="false">B20*1000*'Voyage Model'!$C$6*Inputs!$B$33</f>
        <v>31229164.9818544</v>
      </c>
      <c r="AA20" s="58" t="n">
        <f aca="false">Y20*Inputs!$B$34*Inputs!$B$35</f>
        <v>82087741.6346414</v>
      </c>
      <c r="AB20" s="57" t="n">
        <f aca="false">MIN(AA20,Z20)/Inputs!$B$33/1000</f>
        <v>776.844900046128</v>
      </c>
      <c r="AC20" s="58" t="n">
        <f aca="false">X20*(1-'Voyage Model'!$C$9)</f>
        <v>11111215.486378</v>
      </c>
    </row>
    <row r="21" customFormat="false" ht="15" hidden="false" customHeight="false" outlineLevel="0" collapsed="false">
      <c r="A21" s="58" t="n">
        <v>180000</v>
      </c>
      <c r="B21" s="35" t="n">
        <f aca="false">Inputs!$B$15*(A21/Inputs!$B$9)^Inputs!$B$44</f>
        <v>27.0432411674345</v>
      </c>
      <c r="C21" s="66" t="n">
        <f aca="false">IF(Y21=0,"n/a",('Voyage Model'!$D$42*AC21+AB21*Inputs!$B$40)/Y21)</f>
        <v>0.81486271202731</v>
      </c>
      <c r="E21" s="64" t="n">
        <f aca="false">(Y21*E$4-AB21*Inputs!$B$40)/AC21-('Voyage Model'!$D$42)</f>
        <v>-0.0501672085700303</v>
      </c>
      <c r="F21" s="64" t="n">
        <f aca="false">(Y21*F$4-AB21*Inputs!$B$40)/AC21-('Voyage Model'!$D$42)</f>
        <v>-0.0347759015959946</v>
      </c>
      <c r="G21" s="64" t="n">
        <f aca="false">(Y21*G$4-AB21*Inputs!$B$40)/AC21-('Voyage Model'!$D$42)</f>
        <v>-0.0193845946219589</v>
      </c>
      <c r="H21" s="64" t="n">
        <f aca="false">(Y21*H$4-AB21*Inputs!$B$40)/AC21-('Voyage Model'!$D$42)</f>
        <v>-0.00399328764792324</v>
      </c>
      <c r="I21" s="64" t="n">
        <f aca="false">(Y21*I$4-AB21*Inputs!$B$40)/AC21-('Voyage Model'!$D$42)</f>
        <v>0.0113980193261125</v>
      </c>
      <c r="J21" s="64" t="n">
        <f aca="false">(Y21*J$4-AB21*Inputs!$B$40)/AC21-('Voyage Model'!$D$42)</f>
        <v>0.0267893263001481</v>
      </c>
      <c r="K21" s="64" t="n">
        <f aca="false">(Y21*K$4-AB21*Inputs!$B$40)/AC21-('Voyage Model'!$D$42)</f>
        <v>0.0421806332741839</v>
      </c>
      <c r="L21" s="64" t="n">
        <f aca="false">(Y21*L$4-AB21*Inputs!$B$40)/AC21-('Voyage Model'!$D$42)</f>
        <v>0.0575719402482195</v>
      </c>
      <c r="M21" s="64" t="n">
        <f aca="false">(Y21*M$4-AB21*Inputs!$B$40)/AC21-('Voyage Model'!$D$42)</f>
        <v>0.0729632472222552</v>
      </c>
      <c r="N21" s="64" t="n">
        <f aca="false">(Y21*N$4-AB21*Inputs!$B$40)/AC21-('Voyage Model'!$D$42)</f>
        <v>0.0883545541962909</v>
      </c>
      <c r="O21" s="64" t="n">
        <f aca="false">(Y21*O$4-AB21*Inputs!$B$40)/AC21-('Voyage Model'!$D$42)</f>
        <v>0.103745861170327</v>
      </c>
      <c r="P21" s="64" t="n">
        <f aca="false">(Y21*P$4-AB21*Inputs!$B$40)/AC21-('Voyage Model'!$D$42)</f>
        <v>0.119137168144362</v>
      </c>
      <c r="Q21" s="64" t="n">
        <f aca="false">(Y21*Q$4-AB21*Inputs!$B$40)/AC21-('Voyage Model'!$D$42)</f>
        <v>0.134528475118398</v>
      </c>
      <c r="R21" s="64" t="n">
        <f aca="false">(Y21*R$4-AB21*Inputs!$B$40)/AC21-('Voyage Model'!$D$42)</f>
        <v>0.149919782092434</v>
      </c>
      <c r="S21" s="64" t="n">
        <f aca="false">(Y21*S$4-AB21*Inputs!$B$40)/AC21-('Voyage Model'!$D$42)</f>
        <v>0.165311089066469</v>
      </c>
      <c r="T21" s="64" t="n">
        <f aca="false">(Y21*T$4-AB21*Inputs!$B$40)/AC21-('Voyage Model'!$D$42)</f>
        <v>0.180702396040505</v>
      </c>
      <c r="U21" s="64" t="n">
        <f aca="false">(Y21*U$4-AB21*Inputs!$B$40)/AC21-('Voyage Model'!$D$42)</f>
        <v>0.196093703014541</v>
      </c>
      <c r="X21" s="58" t="n">
        <f aca="false">A21*Inputs!$B$10*Inputs!$B$11</f>
        <v>12489120</v>
      </c>
      <c r="Y21" s="58" t="n">
        <f aca="false">X21*'Voyage Model'!$C$9</f>
        <v>724303.602658601</v>
      </c>
      <c r="Z21" s="58" t="n">
        <f aca="false">B21*1000*'Voyage Model'!$C$6*Inputs!$B$33</f>
        <v>32442753.1707972</v>
      </c>
      <c r="AA21" s="58" t="n">
        <f aca="false">Y21*Inputs!$B$34*Inputs!$B$35</f>
        <v>86916432.3190321</v>
      </c>
      <c r="AB21" s="57" t="n">
        <f aca="false">MIN(AA21,Z21)/Inputs!$B$33/1000</f>
        <v>807.033660965106</v>
      </c>
      <c r="AC21" s="58" t="n">
        <f aca="false">X21*(1-'Voyage Model'!$C$9)</f>
        <v>11764816.3973414</v>
      </c>
    </row>
    <row r="22" customFormat="false" ht="15" hidden="false" customHeight="false" outlineLevel="0" collapsed="false">
      <c r="A22" s="58" t="n">
        <v>190000</v>
      </c>
      <c r="B22" s="35" t="n">
        <f aca="false">Inputs!$B$15*(A22/Inputs!$B$9)^Inputs!$B$44</f>
        <v>28.0362957140789</v>
      </c>
      <c r="C22" s="66" t="n">
        <f aca="false">IF(Y22=0,"n/a",('Voyage Model'!$D$42*AC22+AB22*Inputs!$B$40)/Y22)</f>
        <v>0.802933910818578</v>
      </c>
      <c r="E22" s="64" t="n">
        <f aca="false">(Y22*E$4-AB22*Inputs!$B$40)/AC22-('Voyage Model'!$D$42)</f>
        <v>-0.0494328092050869</v>
      </c>
      <c r="F22" s="64" t="n">
        <f aca="false">(Y22*F$4-AB22*Inputs!$B$40)/AC22-('Voyage Model'!$D$42)</f>
        <v>-0.0340415022310512</v>
      </c>
      <c r="G22" s="64" t="n">
        <f aca="false">(Y22*G$4-AB22*Inputs!$B$40)/AC22-('Voyage Model'!$D$42)</f>
        <v>-0.0186501952570155</v>
      </c>
      <c r="H22" s="64" t="n">
        <f aca="false">(Y22*H$4-AB22*Inputs!$B$40)/AC22-('Voyage Model'!$D$42)</f>
        <v>-0.00325888828297982</v>
      </c>
      <c r="I22" s="64" t="n">
        <f aca="false">(Y22*I$4-AB22*Inputs!$B$40)/AC22-('Voyage Model'!$D$42)</f>
        <v>0.0121324186910559</v>
      </c>
      <c r="J22" s="64" t="n">
        <f aca="false">(Y22*J$4-AB22*Inputs!$B$40)/AC22-('Voyage Model'!$D$42)</f>
        <v>0.0275237256650916</v>
      </c>
      <c r="K22" s="64" t="n">
        <f aca="false">(Y22*K$4-AB22*Inputs!$B$40)/AC22-('Voyage Model'!$D$42)</f>
        <v>0.0429150326391273</v>
      </c>
      <c r="L22" s="64" t="n">
        <f aca="false">(Y22*L$4-AB22*Inputs!$B$40)/AC22-('Voyage Model'!$D$42)</f>
        <v>0.058306339613163</v>
      </c>
      <c r="M22" s="64" t="n">
        <f aca="false">(Y22*M$4-AB22*Inputs!$B$40)/AC22-('Voyage Model'!$D$42)</f>
        <v>0.0736976465871987</v>
      </c>
      <c r="N22" s="64" t="n">
        <f aca="false">(Y22*N$4-AB22*Inputs!$B$40)/AC22-('Voyage Model'!$D$42)</f>
        <v>0.0890889535612344</v>
      </c>
      <c r="O22" s="64" t="n">
        <f aca="false">(Y22*O$4-AB22*Inputs!$B$40)/AC22-('Voyage Model'!$D$42)</f>
        <v>0.10448026053527</v>
      </c>
      <c r="P22" s="64" t="n">
        <f aca="false">(Y22*P$4-AB22*Inputs!$B$40)/AC22-('Voyage Model'!$D$42)</f>
        <v>0.119871567509306</v>
      </c>
      <c r="Q22" s="64" t="n">
        <f aca="false">(Y22*Q$4-AB22*Inputs!$B$40)/AC22-('Voyage Model'!$D$42)</f>
        <v>0.135262874483341</v>
      </c>
      <c r="R22" s="64" t="n">
        <f aca="false">(Y22*R$4-AB22*Inputs!$B$40)/AC22-('Voyage Model'!$D$42)</f>
        <v>0.150654181457377</v>
      </c>
      <c r="S22" s="64" t="n">
        <f aca="false">(Y22*S$4-AB22*Inputs!$B$40)/AC22-('Voyage Model'!$D$42)</f>
        <v>0.166045488431413</v>
      </c>
      <c r="T22" s="64" t="n">
        <f aca="false">(Y22*T$4-AB22*Inputs!$B$40)/AC22-('Voyage Model'!$D$42)</f>
        <v>0.181436795405449</v>
      </c>
      <c r="U22" s="64" t="n">
        <f aca="false">(Y22*U$4-AB22*Inputs!$B$40)/AC22-('Voyage Model'!$D$42)</f>
        <v>0.196828102379484</v>
      </c>
      <c r="X22" s="58" t="n">
        <f aca="false">A22*Inputs!$B$10*Inputs!$B$11</f>
        <v>13182960</v>
      </c>
      <c r="Y22" s="58" t="n">
        <f aca="false">X22*'Voyage Model'!$C$9</f>
        <v>764542.69169519</v>
      </c>
      <c r="Z22" s="58" t="n">
        <f aca="false">B22*1000*'Voyage Model'!$C$6*Inputs!$B$33</f>
        <v>33634083.1353696</v>
      </c>
      <c r="AA22" s="58" t="n">
        <f aca="false">Y22*Inputs!$B$34*Inputs!$B$35</f>
        <v>91745123.0034228</v>
      </c>
      <c r="AB22" s="57" t="n">
        <f aca="false">MIN(AA22,Z22)/Inputs!$B$33/1000</f>
        <v>836.668734710687</v>
      </c>
      <c r="AC22" s="58" t="n">
        <f aca="false">X22*(1-'Voyage Model'!$C$9)</f>
        <v>12418417.3083048</v>
      </c>
    </row>
    <row r="23" customFormat="false" ht="15" hidden="false" customHeight="false" outlineLevel="0" collapsed="false">
      <c r="A23" s="58" t="n">
        <v>200000</v>
      </c>
      <c r="B23" s="35" t="n">
        <f aca="false">Inputs!$B$15*(A23/Inputs!$B$9)^Inputs!$B$44</f>
        <v>29.0120880832816</v>
      </c>
      <c r="C23" s="66" t="n">
        <f aca="false">IF(Y23=0,"n/a",('Voyage Model'!$D$42*AC23+AB23*Inputs!$B$40)/Y23)</f>
        <v>0.791813927500841</v>
      </c>
      <c r="E23" s="64" t="n">
        <f aca="false">(Y23*E$4-AB23*Inputs!$B$40)/AC23-('Voyage Model'!$D$42)</f>
        <v>-0.0487482048979291</v>
      </c>
      <c r="F23" s="64" t="n">
        <f aca="false">(Y23*F$4-AB23*Inputs!$B$40)/AC23-('Voyage Model'!$D$42)</f>
        <v>-0.0333568979238934</v>
      </c>
      <c r="G23" s="64" t="n">
        <f aca="false">(Y23*G$4-AB23*Inputs!$B$40)/AC23-('Voyage Model'!$D$42)</f>
        <v>-0.0179655909498577</v>
      </c>
      <c r="H23" s="64" t="n">
        <f aca="false">(Y23*H$4-AB23*Inputs!$B$40)/AC23-('Voyage Model'!$D$42)</f>
        <v>-0.00257428397582204</v>
      </c>
      <c r="I23" s="64" t="n">
        <f aca="false">(Y23*I$4-AB23*Inputs!$B$40)/AC23-('Voyage Model'!$D$42)</f>
        <v>0.0128170229982137</v>
      </c>
      <c r="J23" s="64" t="n">
        <f aca="false">(Y23*J$4-AB23*Inputs!$B$40)/AC23-('Voyage Model'!$D$42)</f>
        <v>0.0282083299722494</v>
      </c>
      <c r="K23" s="64" t="n">
        <f aca="false">(Y23*K$4-AB23*Inputs!$B$40)/AC23-('Voyage Model'!$D$42)</f>
        <v>0.0435996369462851</v>
      </c>
      <c r="L23" s="64" t="n">
        <f aca="false">(Y23*L$4-AB23*Inputs!$B$40)/AC23-('Voyage Model'!$D$42)</f>
        <v>0.0589909439203208</v>
      </c>
      <c r="M23" s="64" t="n">
        <f aca="false">(Y23*M$4-AB23*Inputs!$B$40)/AC23-('Voyage Model'!$D$42)</f>
        <v>0.0743822508943565</v>
      </c>
      <c r="N23" s="64" t="n">
        <f aca="false">(Y23*N$4-AB23*Inputs!$B$40)/AC23-('Voyage Model'!$D$42)</f>
        <v>0.0897735578683921</v>
      </c>
      <c r="O23" s="64" t="n">
        <f aca="false">(Y23*O$4-AB23*Inputs!$B$40)/AC23-('Voyage Model'!$D$42)</f>
        <v>0.105164864842428</v>
      </c>
      <c r="P23" s="64" t="n">
        <f aca="false">(Y23*P$4-AB23*Inputs!$B$40)/AC23-('Voyage Model'!$D$42)</f>
        <v>0.120556171816464</v>
      </c>
      <c r="Q23" s="64" t="n">
        <f aca="false">(Y23*Q$4-AB23*Inputs!$B$40)/AC23-('Voyage Model'!$D$42)</f>
        <v>0.135947478790499</v>
      </c>
      <c r="R23" s="64" t="n">
        <f aca="false">(Y23*R$4-AB23*Inputs!$B$40)/AC23-('Voyage Model'!$D$42)</f>
        <v>0.151338785764535</v>
      </c>
      <c r="S23" s="64" t="n">
        <f aca="false">(Y23*S$4-AB23*Inputs!$B$40)/AC23-('Voyage Model'!$D$42)</f>
        <v>0.166730092738571</v>
      </c>
      <c r="T23" s="64" t="n">
        <f aca="false">(Y23*T$4-AB23*Inputs!$B$40)/AC23-('Voyage Model'!$D$42)</f>
        <v>0.182121399712606</v>
      </c>
      <c r="U23" s="64" t="n">
        <f aca="false">(Y23*U$4-AB23*Inputs!$B$40)/AC23-('Voyage Model'!$D$42)</f>
        <v>0.197512706686642</v>
      </c>
      <c r="X23" s="58" t="n">
        <f aca="false">A23*Inputs!$B$10*Inputs!$B$11</f>
        <v>13876800</v>
      </c>
      <c r="Y23" s="58" t="n">
        <f aca="false">X23*'Voyage Model'!$C$9</f>
        <v>804781.780731779</v>
      </c>
      <c r="Z23" s="58" t="n">
        <f aca="false">B23*1000*'Voyage Model'!$C$6*Inputs!$B$33</f>
        <v>34804704.3188287</v>
      </c>
      <c r="AA23" s="58" t="n">
        <f aca="false">Y23*Inputs!$B$34*Inputs!$B$35</f>
        <v>96573813.6878135</v>
      </c>
      <c r="AB23" s="57" t="n">
        <f aca="false">MIN(AA23,Z23)/Inputs!$B$33/1000</f>
        <v>865.78866464748</v>
      </c>
      <c r="AC23" s="58" t="n">
        <f aca="false">X23*(1-'Voyage Model'!$C$9)</f>
        <v>13072018.2192682</v>
      </c>
    </row>
    <row r="25" customFormat="false" ht="15" hidden="false" customHeight="false" outlineLevel="0" collapsed="false">
      <c r="A25" s="19" t="s">
        <v>229</v>
      </c>
    </row>
    <row r="26" customFormat="false" ht="15" hidden="false" customHeight="false" outlineLevel="0" collapsed="false">
      <c r="A26" s="19" t="s">
        <v>230</v>
      </c>
    </row>
    <row r="27" customFormat="false" ht="15" hidden="false" customHeight="false" outlineLevel="0" collapsed="false">
      <c r="A27" s="19" t="s">
        <v>231</v>
      </c>
    </row>
  </sheetData>
  <mergeCells count="2">
    <mergeCell ref="A1:J1"/>
    <mergeCell ref="A2:J2"/>
  </mergeCells>
  <conditionalFormatting sqref="E5:U23">
    <cfRule type="colorScale" priority="2">
      <colorScale>
        <cfvo type="min" val="0"/>
        <cfvo type="num" val="0"/>
        <cfvo type="max" val="0"/>
        <color rgb="FF1E8449"/>
        <color rgb="FFFFFFFF"/>
        <color rgb="FFB7472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60B"/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16"/>
    <col collapsed="false" customWidth="true" hidden="false" outlineLevel="0" max="5" min="5" style="1" width="40"/>
    <col collapsed="false" customWidth="true" hidden="true" outlineLevel="0" max="6" min="6" style="1" width="13"/>
  </cols>
  <sheetData>
    <row r="1" customFormat="false" ht="25.5" hidden="false" customHeight="true" outlineLevel="0" collapsed="false">
      <c r="A1" s="2" t="s">
        <v>232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233</v>
      </c>
      <c r="B2" s="3"/>
      <c r="C2" s="3"/>
      <c r="D2" s="3"/>
      <c r="E2" s="3"/>
    </row>
    <row r="3" customFormat="false" ht="15" hidden="false" customHeight="false" outlineLevel="0" collapsed="false">
      <c r="F3" s="67"/>
    </row>
    <row r="4" customFormat="false" ht="15" hidden="false" customHeight="false" outlineLevel="0" collapsed="false">
      <c r="A4" s="16" t="s">
        <v>234</v>
      </c>
      <c r="B4" s="16" t="s">
        <v>235</v>
      </c>
      <c r="C4" s="16" t="s">
        <v>236</v>
      </c>
      <c r="D4" s="16" t="s">
        <v>237</v>
      </c>
    </row>
    <row r="5" customFormat="false" ht="15" hidden="false" customHeight="false" outlineLevel="0" collapsed="false">
      <c r="A5" s="58" t="n">
        <v>24000</v>
      </c>
      <c r="B5" s="45" t="n">
        <f aca="false">((A5*Inputs!$B$19*Inputs!$B$20)*(365/(2*(Inputs!$B$6/Inputs!$B$22/24)+2*Inputs!$B$23)*Inputs!$B$30)/Inputs!$B$32)/1000000</f>
        <v>12.2495998259552</v>
      </c>
      <c r="C5" s="68" t="n">
        <f aca="false">(B5*1000000)/'Voyage Model'!$C$14</f>
        <v>0.221736573661874</v>
      </c>
      <c r="D5" s="69" t="n">
        <f aca="false">'Voyage Model'!$C$14/(B5*1000000)</f>
        <v>4.50985592266299</v>
      </c>
      <c r="F5" s="57" t="n">
        <f aca="false">'Voyage Model'!$C$15</f>
        <v>55.2439303253357</v>
      </c>
    </row>
    <row r="6" customFormat="false" ht="15" hidden="false" customHeight="false" outlineLevel="0" collapsed="false">
      <c r="A6" s="58" t="n">
        <v>40000</v>
      </c>
      <c r="B6" s="45" t="n">
        <f aca="false">((A6*Inputs!$B$19*Inputs!$B$20)*(365/(2*(Inputs!$B$6/Inputs!$B$22/24)+2*Inputs!$B$23)*Inputs!$B$30)/Inputs!$B$32)/1000000</f>
        <v>20.4159997099254</v>
      </c>
      <c r="C6" s="68" t="n">
        <f aca="false">(B6*1000000)/'Voyage Model'!$C$14</f>
        <v>0.369560956103123</v>
      </c>
      <c r="D6" s="69" t="n">
        <f aca="false">'Voyage Model'!$C$14/(B6*1000000)</f>
        <v>2.70591355359779</v>
      </c>
      <c r="F6" s="57" t="n">
        <f aca="false">'Voyage Model'!$C$15</f>
        <v>55.2439303253357</v>
      </c>
    </row>
    <row r="7" customFormat="false" ht="15" hidden="false" customHeight="false" outlineLevel="0" collapsed="false">
      <c r="A7" s="58" t="n">
        <v>60000</v>
      </c>
      <c r="B7" s="45" t="n">
        <f aca="false">((A7*Inputs!$B$19*Inputs!$B$20)*(365/(2*(Inputs!$B$6/Inputs!$B$22/24)+2*Inputs!$B$23)*Inputs!$B$30)/Inputs!$B$32)/1000000</f>
        <v>30.6239995648881</v>
      </c>
      <c r="C7" s="68" t="n">
        <f aca="false">(B7*1000000)/'Voyage Model'!$C$14</f>
        <v>0.554341434154685</v>
      </c>
      <c r="D7" s="69" t="n">
        <f aca="false">'Voyage Model'!$C$14/(B7*1000000)</f>
        <v>1.80394236906519</v>
      </c>
      <c r="F7" s="57" t="n">
        <f aca="false">'Voyage Model'!$C$15</f>
        <v>55.2439303253357</v>
      </c>
    </row>
    <row r="8" customFormat="false" ht="15" hidden="false" customHeight="false" outlineLevel="0" collapsed="false">
      <c r="A8" s="58" t="n">
        <v>90000</v>
      </c>
      <c r="B8" s="45" t="n">
        <f aca="false">((A8*Inputs!$B$19*Inputs!$B$20)*(365/(2*(Inputs!$B$6/Inputs!$B$22/24)+2*Inputs!$B$23)*Inputs!$B$30)/Inputs!$B$32)/1000000</f>
        <v>45.9359993473321</v>
      </c>
      <c r="C8" s="68" t="n">
        <f aca="false">(B8*1000000)/'Voyage Model'!$C$14</f>
        <v>0.831512151232028</v>
      </c>
      <c r="D8" s="69" t="n">
        <f aca="false">'Voyage Model'!$C$14/(B8*1000000)</f>
        <v>1.20262824604346</v>
      </c>
      <c r="F8" s="57" t="n">
        <f aca="false">'Voyage Model'!$C$15</f>
        <v>55.2439303253357</v>
      </c>
    </row>
    <row r="10" customFormat="false" ht="15" hidden="false" customHeight="false" outlineLevel="0" collapsed="false">
      <c r="A10" s="19" t="s">
        <v>238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tru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  <col collapsed="false" customWidth="true" hidden="false" outlineLevel="0" max="3" min="3" style="1" width="50"/>
  </cols>
  <sheetData>
    <row r="1" customFormat="false" ht="25.5" hidden="false" customHeight="true" outlineLevel="0" collapsed="false">
      <c r="A1" s="2" t="s">
        <v>239</v>
      </c>
      <c r="B1" s="2"/>
      <c r="C1" s="2"/>
    </row>
    <row r="2" customFormat="false" ht="27.75" hidden="false" customHeight="true" outlineLevel="0" collapsed="false">
      <c r="A2" s="3" t="s">
        <v>240</v>
      </c>
      <c r="B2" s="3"/>
      <c r="C2" s="3"/>
    </row>
    <row r="4" customFormat="false" ht="15" hidden="false" customHeight="false" outlineLevel="0" collapsed="false">
      <c r="A4" s="16" t="s">
        <v>35</v>
      </c>
      <c r="B4" s="16" t="s">
        <v>241</v>
      </c>
      <c r="C4" s="16" t="s">
        <v>242</v>
      </c>
    </row>
    <row r="5" customFormat="false" ht="30" hidden="false" customHeight="true" outlineLevel="0" collapsed="false">
      <c r="A5" s="70" t="s">
        <v>45</v>
      </c>
      <c r="B5" s="71" t="s">
        <v>243</v>
      </c>
      <c r="C5" s="15" t="s">
        <v>244</v>
      </c>
    </row>
    <row r="6" customFormat="false" ht="30" hidden="false" customHeight="true" outlineLevel="0" collapsed="false">
      <c r="A6" s="72" t="s">
        <v>53</v>
      </c>
      <c r="B6" s="71" t="s">
        <v>245</v>
      </c>
      <c r="C6" s="15" t="s">
        <v>246</v>
      </c>
    </row>
    <row r="7" customFormat="false" ht="30" hidden="false" customHeight="true" outlineLevel="0" collapsed="false">
      <c r="A7" s="72" t="s">
        <v>40</v>
      </c>
      <c r="B7" s="71" t="s">
        <v>247</v>
      </c>
      <c r="C7" s="15" t="s">
        <v>248</v>
      </c>
    </row>
    <row r="8" customFormat="false" ht="30" hidden="false" customHeight="true" outlineLevel="0" collapsed="false">
      <c r="A8" s="73" t="s">
        <v>49</v>
      </c>
      <c r="B8" s="71" t="s">
        <v>249</v>
      </c>
      <c r="C8" s="15" t="s">
        <v>250</v>
      </c>
    </row>
    <row r="9" customFormat="false" ht="30" hidden="false" customHeight="true" outlineLevel="0" collapsed="false">
      <c r="A9" s="73" t="s">
        <v>113</v>
      </c>
      <c r="B9" s="71" t="s">
        <v>251</v>
      </c>
      <c r="C9" s="15" t="s">
        <v>252</v>
      </c>
    </row>
    <row r="11" customFormat="false" ht="15" hidden="false" customHeight="false" outlineLevel="0" collapsed="false">
      <c r="A11" s="14" t="s">
        <v>253</v>
      </c>
      <c r="B11" s="14"/>
      <c r="C11" s="14"/>
    </row>
    <row r="12" customFormat="false" ht="30" hidden="false" customHeight="true" outlineLevel="0" collapsed="false">
      <c r="A12" s="15" t="s">
        <v>254</v>
      </c>
      <c r="B12" s="15"/>
      <c r="C12" s="15"/>
    </row>
    <row r="13" customFormat="false" ht="30" hidden="false" customHeight="true" outlineLevel="0" collapsed="false">
      <c r="A13" s="15" t="s">
        <v>255</v>
      </c>
      <c r="B13" s="15"/>
      <c r="C13" s="15"/>
    </row>
    <row r="14" customFormat="false" ht="30" hidden="false" customHeight="true" outlineLevel="0" collapsed="false">
      <c r="A14" s="15" t="s">
        <v>256</v>
      </c>
      <c r="B14" s="15"/>
      <c r="C14" s="15"/>
    </row>
    <row r="15" customFormat="false" ht="30" hidden="false" customHeight="true" outlineLevel="0" collapsed="false">
      <c r="A15" s="15" t="s">
        <v>257</v>
      </c>
      <c r="B15" s="15"/>
      <c r="C15" s="15"/>
    </row>
    <row r="16" customFormat="false" ht="30" hidden="false" customHeight="true" outlineLevel="0" collapsed="false">
      <c r="A16" s="15" t="s">
        <v>258</v>
      </c>
      <c r="B16" s="15"/>
      <c r="C16" s="15"/>
    </row>
  </sheetData>
  <mergeCells count="8">
    <mergeCell ref="A1:C1"/>
    <mergeCell ref="A2:C2"/>
    <mergeCell ref="A11:C1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2026-09-21T17:00:40Z</dcterms:created>
  <dc:creator>openpyxl</dc:creator>
  <dc:description/>
  <dc:language>en-US</dc:language>
  <cp:lastModifiedBy/>
  <dcterms:modified xsi:type="dcterms:W3CDTF">2026-09-21T17:01:40Z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